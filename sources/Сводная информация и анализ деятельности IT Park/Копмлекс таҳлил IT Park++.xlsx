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h.muminov\Desktop\Маълумотнома\"/>
    </mc:Choice>
  </mc:AlternateContent>
  <bookViews>
    <workbookView xWindow="-120" yWindow="-120" windowWidth="29040" windowHeight="15840" tabRatio="761"/>
  </bookViews>
  <sheets>
    <sheet name="Хизматлар жами" sheetId="32" r:id="rId1"/>
    <sheet name="Экспорт-хизмат" sheetId="33" r:id="rId2"/>
  </sheets>
  <definedNames>
    <definedName name="________A1" localSheetId="0" hidden="1">#REF!</definedName>
    <definedName name="________A1" localSheetId="1" hidden="1">#REF!</definedName>
    <definedName name="________A1" hidden="1">#REF!</definedName>
    <definedName name="_______A1" localSheetId="0" hidden="1">#REF!</definedName>
    <definedName name="_______A1" localSheetId="1" hidden="1">#REF!</definedName>
    <definedName name="_______A1" hidden="1">#REF!</definedName>
    <definedName name="_______a12" localSheetId="0" hidden="1">{"'Monthly 1997'!$A$3:$S$89"}</definedName>
    <definedName name="_______a12" localSheetId="1" hidden="1">{"'Monthly 1997'!$A$3:$S$89"}</definedName>
    <definedName name="_______a12" hidden="1">{"'Monthly 1997'!$A$3:$S$89"}</definedName>
    <definedName name="____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tt1" localSheetId="0" hidden="1">{#N/A,#N/A,TRUE,"일정"}</definedName>
    <definedName name="_______tt1" localSheetId="1" hidden="1">{#N/A,#N/A,TRUE,"일정"}</definedName>
    <definedName name="_______tt1" hidden="1">{#N/A,#N/A,TRUE,"일정"}</definedName>
    <definedName name="______A1" localSheetId="0" hidden="1">#REF!</definedName>
    <definedName name="______A1" localSheetId="1" hidden="1">#REF!</definedName>
    <definedName name="______A1" hidden="1">#REF!</definedName>
    <definedName name="______a12" localSheetId="0" hidden="1">{"'Monthly 1997'!$A$3:$S$89"}</definedName>
    <definedName name="______a12" localSheetId="1" hidden="1">{"'Monthly 1997'!$A$3:$S$89"}</definedName>
    <definedName name="______a12" hidden="1">{"'Monthly 1997'!$A$3:$S$89"}</definedName>
    <definedName name="___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tt1" localSheetId="0" hidden="1">{#N/A,#N/A,TRUE,"일정"}</definedName>
    <definedName name="______tt1" localSheetId="1" hidden="1">{#N/A,#N/A,TRUE,"일정"}</definedName>
    <definedName name="______tt1" hidden="1">{#N/A,#N/A,TRUE,"일정"}</definedName>
    <definedName name="_____A1" localSheetId="0" hidden="1">#REF!</definedName>
    <definedName name="_____A1" localSheetId="1" hidden="1">#REF!</definedName>
    <definedName name="_____A1" hidden="1">#REF!</definedName>
    <definedName name="_____a12" localSheetId="0" hidden="1">{"'Monthly 1997'!$A$3:$S$89"}</definedName>
    <definedName name="_____a12" localSheetId="1" hidden="1">{"'Monthly 1997'!$A$3:$S$89"}</definedName>
    <definedName name="_____a12" hidden="1">{"'Monthly 1997'!$A$3:$S$89"}</definedName>
    <definedName name="__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tt1" localSheetId="0" hidden="1">{#N/A,#N/A,TRUE,"일정"}</definedName>
    <definedName name="_____tt1" localSheetId="1" hidden="1">{#N/A,#N/A,TRUE,"일정"}</definedName>
    <definedName name="_____tt1" hidden="1">{#N/A,#N/A,TRUE,"일정"}</definedName>
    <definedName name="____A1" localSheetId="0" hidden="1">#REF!</definedName>
    <definedName name="____A1" localSheetId="1" hidden="1">#REF!</definedName>
    <definedName name="____A1" hidden="1">#REF!</definedName>
    <definedName name="____a12" localSheetId="0" hidden="1">{"'Monthly 1997'!$A$3:$S$89"}</definedName>
    <definedName name="____a12" localSheetId="1" hidden="1">{"'Monthly 1997'!$A$3:$S$89"}</definedName>
    <definedName name="____a12" hidden="1">{"'Monthly 1997'!$A$3:$S$89"}</definedName>
    <definedName name="_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tt1" localSheetId="0" hidden="1">{#N/A,#N/A,TRUE,"일정"}</definedName>
    <definedName name="____tt1" localSheetId="1" hidden="1">{#N/A,#N/A,TRUE,"일정"}</definedName>
    <definedName name="____tt1" hidden="1">{#N/A,#N/A,TRUE,"일정"}</definedName>
    <definedName name="___A1" localSheetId="0" hidden="1">#REF!</definedName>
    <definedName name="___A1" localSheetId="1" hidden="1">#REF!</definedName>
    <definedName name="___A1" hidden="1">#REF!</definedName>
    <definedName name="___a12" localSheetId="0" hidden="1">{"'Monthly 1997'!$A$3:$S$89"}</definedName>
    <definedName name="___a12" localSheetId="1" hidden="1">{"'Monthly 1997'!$A$3:$S$89"}</definedName>
    <definedName name="___a12" hidden="1">{"'Monthly 1997'!$A$3:$S$89"}</definedName>
    <definedName name="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tt1" localSheetId="0" hidden="1">{#N/A,#N/A,TRUE,"일정"}</definedName>
    <definedName name="___tt1" localSheetId="1" hidden="1">{#N/A,#N/A,TRUE,"일정"}</definedName>
    <definedName name="___tt1" hidden="1">{#N/A,#N/A,TRUE,"일정"}</definedName>
    <definedName name="__A1" localSheetId="0" hidden="1">#REF!</definedName>
    <definedName name="__A1" localSheetId="1" hidden="1">#REF!</definedName>
    <definedName name="__A1" hidden="1">#REF!</definedName>
    <definedName name="__a12" localSheetId="0" hidden="1">{"'Monthly 1997'!$A$3:$S$89"}</definedName>
    <definedName name="__a12" localSheetId="1" hidden="1">{"'Monthly 1997'!$A$3:$S$89"}</definedName>
    <definedName name="__a12" hidden="1">{"'Monthly 1997'!$A$3:$S$89"}</definedName>
    <definedName name="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tt1" localSheetId="0" hidden="1">{#N/A,#N/A,TRUE,"일정"}</definedName>
    <definedName name="__tt1" localSheetId="1" hidden="1">{#N/A,#N/A,TRUE,"일정"}</definedName>
    <definedName name="__tt1" hidden="1">{#N/A,#N/A,TRUE,"일정"}</definedName>
    <definedName name="_A1" localSheetId="0" hidden="1">#REF!</definedName>
    <definedName name="_A1" localSheetId="1" hidden="1">#REF!</definedName>
    <definedName name="_A1" hidden="1">#REF!</definedName>
    <definedName name="_a12" localSheetId="0" hidden="1">{"'Monthly 1997'!$A$3:$S$89"}</definedName>
    <definedName name="_a12" localSheetId="1" hidden="1">{"'Monthly 1997'!$A$3:$S$89"}</definedName>
    <definedName name="_a12" hidden="1">{"'Monthly 1997'!$A$3:$S$89"}</definedName>
    <definedName name="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Dist_Bin" localSheetId="0" hidden="1">#REF!</definedName>
    <definedName name="_Dist_Bin" localSheetId="1" hidden="1">#REF!</definedName>
    <definedName name="_Dist_Bin" hidden="1">#REF!</definedName>
    <definedName name="_Dist_Values" localSheetId="0" hidden="1">#REF!</definedName>
    <definedName name="_Dist_Values" localSheetId="1" hidden="1">#REF!</definedName>
    <definedName name="_Dist_Values" hidden="1">#REF!</definedName>
    <definedName name="_Fill" localSheetId="0" hidden="1">#REF!</definedName>
    <definedName name="_Fill" localSheetId="1" hidden="1">#REF!</definedName>
    <definedName name="_Fill" hidden="1">#REF!</definedName>
    <definedName name="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ey1" localSheetId="0" hidden="1">#REF!</definedName>
    <definedName name="_Key1" localSheetId="1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hidden="1">#REF!</definedName>
    <definedName name="_MatInverse_In" localSheetId="0" hidden="1">#REF!</definedName>
    <definedName name="_MatInverse_In" localSheetId="1" hidden="1">#REF!</definedName>
    <definedName name="_MatInverse_In" hidden="1">#REF!</definedName>
    <definedName name="_MatInverse_Out" localSheetId="0" hidden="1">#REF!</definedName>
    <definedName name="_MatInverse_Out" localSheetId="1" hidden="1">#REF!</definedName>
    <definedName name="_MatInverse_Out" hidden="1">#REF!</definedName>
    <definedName name="_Order1" hidden="1">255</definedName>
    <definedName name="_Order2" hidden="1">0</definedName>
    <definedName name="_Sort" localSheetId="0" hidden="1">#REF!</definedName>
    <definedName name="_Sort" localSheetId="1" hidden="1">#REF!</definedName>
    <definedName name="_Sort" hidden="1">#REF!</definedName>
    <definedName name="_tt1" localSheetId="0" hidden="1">{#N/A,#N/A,TRUE,"일정"}</definedName>
    <definedName name="_tt1" localSheetId="1" hidden="1">{#N/A,#N/A,TRUE,"일정"}</definedName>
    <definedName name="_tt1" hidden="1">{#N/A,#N/A,TRUE,"일정"}</definedName>
    <definedName name="aaasas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"Kaspl_5_ПЛАН_4_Таблица1"</definedName>
    <definedName name="AccessDatabase" hidden="1">"C:\Documents and Settings\schoolfund1\Рабочий стол\жаха\прогноз доходов 2005 помесяц..mdb"</definedName>
    <definedName name="af" localSheetId="0" hidden="1">{#N/A,#N/A,FALSE,"BODY"}</definedName>
    <definedName name="af" localSheetId="1" hidden="1">{#N/A,#N/A,FALSE,"BODY"}</definedName>
    <definedName name="af" hidden="1">{#N/A,#N/A,FALSE,"BODY"}</definedName>
    <definedName name="aqz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ho" localSheetId="0" hidden="1">{"'Monthly 1997'!$A$3:$S$89"}</definedName>
    <definedName name="cho" localSheetId="1" hidden="1">{"'Monthly 1997'!$A$3:$S$89"}</definedName>
    <definedName name="cho" hidden="1">{"'Monthly 1997'!$A$3:$S$89"}</definedName>
    <definedName name="ddd" localSheetId="0" hidden="1">{#N/A,#N/A,TRUE,"일정"}</definedName>
    <definedName name="ddd" localSheetId="1" hidden="1">{#N/A,#N/A,TRUE,"일정"}</definedName>
    <definedName name="ddd" hidden="1">{#N/A,#N/A,TRUE,"일정"}</definedName>
    <definedName name="dddddddd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dfsfdsfdsfds" localSheetId="0" hidden="1">{#N/A,#N/A,FALSE,"BODY"}</definedName>
    <definedName name="fdsdfsfdsfdsfds" localSheetId="1" hidden="1">{#N/A,#N/A,FALSE,"BODY"}</definedName>
    <definedName name="fdsdfsfdsfdsfds" hidden="1">{#N/A,#N/A,FALSE,"BODY"}</definedName>
    <definedName name="ffx" localSheetId="0" hidden="1">{#N/A,#N/A,FALSE,"BODY"}</definedName>
    <definedName name="ffx" localSheetId="1" hidden="1">{#N/A,#N/A,FALSE,"BODY"}</definedName>
    <definedName name="ffx" hidden="1">{#N/A,#N/A,FALSE,"BODY"}</definedName>
    <definedName name="front_2" localSheetId="0" hidden="1">{#N/A,#N/A,FALSE,"BODY"}</definedName>
    <definedName name="front_2" localSheetId="1" hidden="1">{#N/A,#N/A,FALSE,"BODY"}</definedName>
    <definedName name="front_2" hidden="1">{#N/A,#N/A,FALSE,"BODY"}</definedName>
    <definedName name="HTML_CodePage" hidden="1">874</definedName>
    <definedName name="HTML_Control" localSheetId="0" hidden="1">{"'Monthly 1997'!$A$3:$S$89"}</definedName>
    <definedName name="HTML_Control" localSheetId="1" hidden="1">{"'Monthly 1997'!$A$3:$S$89"}</definedName>
    <definedName name="HTML_Control" hidden="1">{"'Monthly 1997'!$A$3:$S$89"}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"\\Der2\vol1\DATABANK\DOWNLOAD\tab4-17.htm"</definedName>
    <definedName name="HTML_PathTemplate" hidden="1">"\\Der2\vol1\DATABANK\DOWNLOAD\Head4-17.htm"</definedName>
    <definedName name="K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 localSheetId="0" hidden="1">{#N/A,#N/A,FALSE,"BODY"}</definedName>
    <definedName name="KLJLK" localSheetId="1" hidden="1">{#N/A,#N/A,FALSE,"BODY"}</definedName>
    <definedName name="KLJLK" hidden="1">{#N/A,#N/A,FALSE,"BODY"}</definedName>
    <definedName name="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ocal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h" localSheetId="0" hidden="1">#REF!</definedName>
    <definedName name="mh" localSheetId="1" hidden="1">#REF!</definedName>
    <definedName name="mh" hidden="1">#REF!</definedName>
    <definedName name="monthl" localSheetId="0" hidden="1">{"'Monthly 1997'!$A$3:$S$89"}</definedName>
    <definedName name="monthl" localSheetId="1" hidden="1">{"'Monthly 1997'!$A$3:$S$89"}</definedName>
    <definedName name="monthl" hidden="1">{"'Monthly 1997'!$A$3:$S$89"}</definedName>
    <definedName name="Monthly" localSheetId="0" hidden="1">{"'Monthly 1997'!$A$3:$S$89"}</definedName>
    <definedName name="Monthly" localSheetId="1" hidden="1">{"'Monthly 1997'!$A$3:$S$89"}</definedName>
    <definedName name="Monthly" hidden="1">{"'Monthly 1997'!$A$3:$S$89"}</definedName>
    <definedName name="O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ACK" localSheetId="0" hidden="1">{#N/A,#N/A,FALSE,"BODY"}</definedName>
    <definedName name="PACK" localSheetId="1" hidden="1">{#N/A,#N/A,FALSE,"BODY"}</definedName>
    <definedName name="PACK" hidden="1">{#N/A,#N/A,FALSE,"BODY"}</definedName>
    <definedName name="PACKING" localSheetId="0" hidden="1">{#N/A,#N/A,FALSE,"BODY"}</definedName>
    <definedName name="PACKING" localSheetId="1" hidden="1">{#N/A,#N/A,FALSE,"BODY"}</definedName>
    <definedName name="PACKING" hidden="1">{#N/A,#N/A,FALSE,"BODY"}</definedName>
    <definedName name="PACKINGLIST" localSheetId="0" hidden="1">{#N/A,#N/A,FALSE,"BODY"}</definedName>
    <definedName name="PACKINGLIST" localSheetId="1" hidden="1">{#N/A,#N/A,FALSE,"BODY"}</definedName>
    <definedName name="PACKINGLIST" hidden="1">{#N/A,#N/A,FALSE,"BODY"}</definedName>
    <definedName name="PL" localSheetId="0" hidden="1">{#N/A,#N/A,FALSE,"BODY"}</definedName>
    <definedName name="PL" localSheetId="1" hidden="1">{#N/A,#N/A,FALSE,"BODY"}</definedName>
    <definedName name="PL" hidden="1">{#N/A,#N/A,FALSE,"BODY"}</definedName>
    <definedName name="r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hsssreywwet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ung" localSheetId="0" hidden="1">{"'Monthly 1997'!$A$3:$S$89"}</definedName>
    <definedName name="sung" localSheetId="1" hidden="1">{"'Monthly 1997'!$A$3:$S$89"}</definedName>
    <definedName name="sung" hidden="1">{"'Monthly 1997'!$A$3:$S$89"}</definedName>
    <definedName name="sung2" localSheetId="0" hidden="1">{"'Monthly 1997'!$A$3:$S$89"}</definedName>
    <definedName name="sung2" localSheetId="1" hidden="1">{"'Monthly 1997'!$A$3:$S$89"}</definedName>
    <definedName name="sung2" hidden="1">{"'Monthly 1997'!$A$3:$S$89"}</definedName>
    <definedName name="tt" localSheetId="0" hidden="1">{#N/A,#N/A,TRUE,"일정"}</definedName>
    <definedName name="tt" localSheetId="1" hidden="1">{#N/A,#N/A,TRUE,"일정"}</definedName>
    <definedName name="tt" hidden="1">{#N/A,#N/A,TRUE,"일정"}</definedName>
    <definedName name="TYR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geaw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ccr." localSheetId="0" hidden="1">{#N/A,#N/A,FALSE,"BODY"}</definedName>
    <definedName name="wrn.ccr." localSheetId="1" hidden="1">{#N/A,#N/A,FALSE,"BODY"}</definedName>
    <definedName name="wrn.ccr." hidden="1">{#N/A,#N/A,FALSE,"BODY"}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Print._.All." localSheetId="0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 localSheetId="1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0" hidden="1">{#N/A,#N/A,FALSE,"단축1";#N/A,#N/A,FALSE,"단축2";#N/A,#N/A,FALSE,"단축3";#N/A,#N/A,FALSE,"장축";#N/A,#N/A,FALSE,"4WD"}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0" hidden="1">{#N/A,#N/A,TRUE,"일정"}</definedName>
    <definedName name="wrn.주간._.보고." localSheetId="1" hidden="1">{#N/A,#N/A,TRUE,"일정"}</definedName>
    <definedName name="wrn.주간._.보고." hidden="1">{#N/A,#N/A,TRUE,"일정"}</definedName>
    <definedName name="WW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localSheetId="0" hidden="1">{#N/A,#N/A,TRUE,"일정"}</definedName>
    <definedName name="WWWW" localSheetId="1" hidden="1">{#N/A,#N/A,TRUE,"일정"}</definedName>
    <definedName name="WWWW" hidden="1">{#N/A,#N/A,TRUE,"일정"}</definedName>
    <definedName name="Z_86A21AE1_D222_11D6_8098_444553540000_.wvu.Cols" hidden="1">#N/A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localSheetId="1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0" hidden="1">#REF!</definedName>
    <definedName name="Z_B01F82C8_E2BF_11D8_BD33_0000F8781956_.wvu.PrintTitles" localSheetId="1" hidden="1">#REF!</definedName>
    <definedName name="Z_B01F82C8_E2BF_11D8_BD33_0000F8781956_.wvu.PrintTitles" hidden="1">#REF!</definedName>
    <definedName name="АК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дд" localSheetId="0" hidden="1">#REF!,#REF!,#REF!,#REF!</definedName>
    <definedName name="ддддд" localSheetId="1" hidden="1">#REF!,#REF!,#REF!,#REF!</definedName>
    <definedName name="ддддд" hidden="1">#REF!,#REF!,#REF!,#REF!</definedName>
    <definedName name="жжжжжжж" localSheetId="0" hidden="1">#REF!</definedName>
    <definedName name="жжжжжжж" localSheetId="1" hidden="1">#REF!</definedName>
    <definedName name="жжжжжжж" hidden="1">#REF!</definedName>
    <definedName name="_xlnm.Print_Titles" localSheetId="0">'Хизматлар жами'!$6:$6</definedName>
    <definedName name="_xlnm.Print_Titles" localSheetId="1">'Экспорт-хизмат'!$6:$6</definedName>
    <definedName name="нар26" hidden="1">#N/A</definedName>
    <definedName name="_xlnm.Print_Area" localSheetId="0">'Хизматлар жами'!$A$1:$AC$26</definedName>
    <definedName name="_xlnm.Print_Area" localSheetId="1">'Экспорт-хизмат'!$A$1:$AL$26</definedName>
    <definedName name="ольга" localSheetId="0" hidden="1">{#N/A,#N/A,FALSE,"BODY"}</definedName>
    <definedName name="ольга" localSheetId="1" hidden="1">{#N/A,#N/A,FALSE,"BODY"}</definedName>
    <definedName name="ольга" hidden="1">{#N/A,#N/A,FALSE,"BODY"}</definedName>
    <definedName name="ооллолол" localSheetId="0" hidden="1">#REF!</definedName>
    <definedName name="ооллолол" localSheetId="1" hidden="1">#REF!</definedName>
    <definedName name="ооллолол" hidden="1">#REF!</definedName>
    <definedName name="ооооо" localSheetId="0" hidden="1">#REF!,#REF!,#REF!,#REF!</definedName>
    <definedName name="ооооо" localSheetId="1" hidden="1">#REF!,#REF!,#REF!,#REF!</definedName>
    <definedName name="ооооо" hidden="1">#REF!,#REF!,#REF!,#REF!</definedName>
    <definedName name="отста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тстав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тста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пп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Территории" localSheetId="0" hidden="1">#REF!</definedName>
    <definedName name="Территории" localSheetId="1" hidden="1">#REF!</definedName>
    <definedName name="Территории" hidden="1">#REF!</definedName>
    <definedName name="ф5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5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эээээ" localSheetId="0" hidden="1">#REF!</definedName>
    <definedName name="ээээээ" localSheetId="1" hidden="1">#REF!</definedName>
    <definedName name="ээээээ" hidden="1">#REF!</definedName>
    <definedName name="구조조정계획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ㄴㄴㄴㄴ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 localSheetId="0" hidden="1">{#N/A,#N/A,FALSE,"BODY"}</definedName>
    <definedName name="단가" localSheetId="1" hidden="1">{#N/A,#N/A,FALSE,"BODY"}</definedName>
    <definedName name="단가" hidden="1">{#N/A,#N/A,FALSE,"BODY"}</definedName>
    <definedName name="ㅁㅇㄹㄹㄼㅂㅈㄷ113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 localSheetId="0" hidden="1">{#N/A,#N/A,TRUE,"일정"}</definedName>
    <definedName name="미" localSheetId="1" hidden="1">{#N/A,#N/A,TRUE,"일정"}</definedName>
    <definedName name="미" hidden="1">{#N/A,#N/A,TRUE,"일정"}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 localSheetId="0" hidden="1">{#N/A,#N/A,FALSE,"BODY"}</definedName>
    <definedName name="병수3" localSheetId="1" hidden="1">{#N/A,#N/A,FALSE,"BODY"}</definedName>
    <definedName name="병수3" hidden="1">{#N/A,#N/A,FALSE,"BODY"}</definedName>
    <definedName name="사업환경" localSheetId="0" hidden="1">{#N/A,#N/A,FALSE,"BODY"}</definedName>
    <definedName name="사업환경" localSheetId="1" hidden="1">{#N/A,#N/A,FALSE,"BODY"}</definedName>
    <definedName name="사업환경" hidden="1">{#N/A,#N/A,FALSE,"BODY"}</definedName>
    <definedName name="새일정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손익" localSheetId="0" hidden="1">{#N/A,#N/A,FALSE,"BODY"}</definedName>
    <definedName name="손익" localSheetId="1" hidden="1">{#N/A,#N/A,FALSE,"BODY"}</definedName>
    <definedName name="손익" hidden="1">{#N/A,#N/A,FALSE,"BODY"}</definedName>
    <definedName name="시기조정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ㅇㅇ" localSheetId="0" hidden="1">{#VALUE!,#N/A,TRUE,0}</definedName>
    <definedName name="ㅇㅇㅇㅇㅇ" localSheetId="1" hidden="1">{#VALUE!,#N/A,TRUE,0}</definedName>
    <definedName name="ㅇㅇㅇㅇㅇ" hidden="1">{#VALUE!,#N/A,TRUE,0}</definedName>
    <definedName name="ㅇㅇㅇㅇㅇㅇㅇㅇㅇㅇㅇ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 localSheetId="0" hidden="1">{#N/A,#N/A,FALSE,"BODY"}</definedName>
    <definedName name="원가계획" localSheetId="1" hidden="1">{#N/A,#N/A,FALSE,"BODY"}</definedName>
    <definedName name="원가계획" hidden="1">{#N/A,#N/A,FALSE,"BODY"}</definedName>
    <definedName name="이명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료비" localSheetId="0" hidden="1">{#N/A,#N/A,FALSE,"BODY"}</definedName>
    <definedName name="재료비" localSheetId="1" hidden="1">{#N/A,#N/A,FALSE,"BODY"}</definedName>
    <definedName name="재료비" hidden="1">{#N/A,#N/A,FALSE,"BODY"}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 localSheetId="0" hidden="1">{#N/A,#N/A,TRUE,"일정"}</definedName>
    <definedName name="차차" localSheetId="1" hidden="1">{#N/A,#N/A,TRUE,"일정"}</definedName>
    <definedName name="차차" hidden="1">{#N/A,#N/A,TRUE,"일정"}</definedName>
    <definedName name="초ㅐ" localSheetId="0" hidden="1">{"'Monthly 1997'!$A$3:$S$89"}</definedName>
    <definedName name="초ㅐ" localSheetId="1" hidden="1">{"'Monthly 1997'!$A$3:$S$89"}</definedName>
    <definedName name="초ㅐ" hidden="1">{"'Monthly 1997'!$A$3:$S$89"}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33" l="1"/>
  <c r="J14" i="32" l="1"/>
  <c r="AL8" i="33" l="1"/>
  <c r="AK8" i="33"/>
  <c r="X21" i="33"/>
  <c r="Y21" i="33"/>
  <c r="O13" i="33"/>
  <c r="O8" i="33"/>
  <c r="O22" i="33"/>
  <c r="L23" i="33"/>
  <c r="I14" i="33"/>
  <c r="H14" i="33"/>
  <c r="J14" i="33" s="1"/>
  <c r="AA9" i="32"/>
  <c r="AF9" i="32"/>
  <c r="U9" i="32"/>
  <c r="W11" i="32"/>
  <c r="W9" i="32"/>
  <c r="O8" i="32"/>
  <c r="N8" i="32"/>
  <c r="N9" i="32"/>
  <c r="K9" i="32"/>
  <c r="L9" i="32"/>
  <c r="T8" i="33" l="1"/>
  <c r="T9" i="33"/>
  <c r="T11" i="33"/>
  <c r="T12" i="33"/>
  <c r="T13" i="33"/>
  <c r="T14" i="33"/>
  <c r="T15" i="33"/>
  <c r="T16" i="33"/>
  <c r="T17" i="33"/>
  <c r="T18" i="33"/>
  <c r="T19" i="33"/>
  <c r="T20" i="33"/>
  <c r="T21" i="33"/>
  <c r="T22" i="33"/>
  <c r="T23" i="33"/>
  <c r="AD9" i="33"/>
  <c r="AD11" i="33"/>
  <c r="AD12" i="33"/>
  <c r="AD13" i="33"/>
  <c r="AD14" i="33"/>
  <c r="AD15" i="33"/>
  <c r="AD16" i="33"/>
  <c r="AD17" i="33"/>
  <c r="AD18" i="33"/>
  <c r="AD19" i="33"/>
  <c r="AD20" i="33"/>
  <c r="AD21" i="33"/>
  <c r="AD22" i="33"/>
  <c r="AD23" i="33"/>
  <c r="AD8" i="33"/>
  <c r="G9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8" i="33"/>
  <c r="T8" i="32"/>
  <c r="T9" i="32"/>
  <c r="T11" i="32"/>
  <c r="T12" i="32"/>
  <c r="T13" i="32"/>
  <c r="T14" i="32"/>
  <c r="T15" i="32"/>
  <c r="T16" i="32"/>
  <c r="T17" i="32"/>
  <c r="T18" i="32"/>
  <c r="T19" i="32"/>
  <c r="T20" i="32"/>
  <c r="T21" i="32"/>
  <c r="T22" i="32"/>
  <c r="T23" i="32"/>
  <c r="G9" i="32"/>
  <c r="G8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U14" i="33" l="1"/>
  <c r="H23" i="33" l="1"/>
  <c r="I22" i="33"/>
  <c r="H22" i="33"/>
  <c r="I21" i="33"/>
  <c r="H21" i="33"/>
  <c r="I20" i="33"/>
  <c r="H20" i="33"/>
  <c r="I19" i="33"/>
  <c r="H19" i="33"/>
  <c r="I18" i="33"/>
  <c r="H18" i="33"/>
  <c r="I17" i="33"/>
  <c r="H17" i="33"/>
  <c r="I16" i="33"/>
  <c r="H16" i="33"/>
  <c r="I15" i="33"/>
  <c r="H15" i="33"/>
  <c r="I13" i="33"/>
  <c r="H13" i="33"/>
  <c r="I12" i="33"/>
  <c r="J12" i="33" s="1"/>
  <c r="H12" i="33"/>
  <c r="I11" i="33"/>
  <c r="H11" i="33"/>
  <c r="I9" i="33"/>
  <c r="H9" i="33"/>
  <c r="I8" i="33"/>
  <c r="H8" i="33"/>
  <c r="J8" i="33" l="1"/>
  <c r="U9" i="33"/>
  <c r="V9" i="33"/>
  <c r="U11" i="33"/>
  <c r="V11" i="33"/>
  <c r="U12" i="33"/>
  <c r="V12" i="33"/>
  <c r="U13" i="33"/>
  <c r="V13" i="33"/>
  <c r="V14" i="33"/>
  <c r="W14" i="33" s="1"/>
  <c r="U15" i="33"/>
  <c r="V15" i="33"/>
  <c r="U16" i="33"/>
  <c r="V16" i="33"/>
  <c r="U17" i="33"/>
  <c r="V17" i="33"/>
  <c r="U18" i="33"/>
  <c r="V18" i="33"/>
  <c r="U19" i="33"/>
  <c r="V19" i="33"/>
  <c r="U20" i="33"/>
  <c r="V20" i="33"/>
  <c r="U21" i="33"/>
  <c r="V21" i="33"/>
  <c r="U22" i="33"/>
  <c r="V22" i="33"/>
  <c r="U23" i="33"/>
  <c r="V23" i="33"/>
  <c r="V8" i="33"/>
  <c r="U8" i="33"/>
  <c r="AE9" i="33" l="1"/>
  <c r="AF9" i="33"/>
  <c r="AE11" i="33"/>
  <c r="AF11" i="33"/>
  <c r="AE12" i="33"/>
  <c r="AF12" i="33"/>
  <c r="AE13" i="33"/>
  <c r="AF13" i="33"/>
  <c r="AE14" i="33"/>
  <c r="AF14" i="33"/>
  <c r="AE15" i="33"/>
  <c r="AF15" i="33"/>
  <c r="AE16" i="33"/>
  <c r="AF16" i="33"/>
  <c r="AE17" i="33"/>
  <c r="AF17" i="33"/>
  <c r="AE18" i="33"/>
  <c r="AF18" i="33"/>
  <c r="AE19" i="33"/>
  <c r="AF19" i="33"/>
  <c r="AE20" i="33"/>
  <c r="AF20" i="33"/>
  <c r="AE21" i="33"/>
  <c r="AF21" i="33"/>
  <c r="AE22" i="33"/>
  <c r="AF22" i="33"/>
  <c r="AE23" i="33"/>
  <c r="AF23" i="33"/>
  <c r="AF8" i="33"/>
  <c r="AE8" i="33"/>
  <c r="W11" i="33" l="1"/>
  <c r="AB11" i="32"/>
  <c r="AB12" i="32"/>
  <c r="AB13" i="32"/>
  <c r="AB14" i="32"/>
  <c r="AB15" i="32"/>
  <c r="AB16" i="32"/>
  <c r="AB17" i="32"/>
  <c r="AB18" i="32"/>
  <c r="AB19" i="32"/>
  <c r="AB20" i="32"/>
  <c r="AB21" i="32"/>
  <c r="AB22" i="32"/>
  <c r="AB23" i="32"/>
  <c r="AB9" i="32"/>
  <c r="AB8" i="32"/>
  <c r="X9" i="33" l="1"/>
  <c r="Y9" i="33"/>
  <c r="X11" i="33"/>
  <c r="Y11" i="33"/>
  <c r="Z11" i="33" s="1"/>
  <c r="X12" i="33"/>
  <c r="Y12" i="33"/>
  <c r="Z12" i="33"/>
  <c r="X13" i="33"/>
  <c r="Y13" i="33"/>
  <c r="Z13" i="33" s="1"/>
  <c r="X14" i="33"/>
  <c r="Y14" i="33"/>
  <c r="Z14" i="33" s="1"/>
  <c r="X15" i="33"/>
  <c r="Y15" i="33"/>
  <c r="Z15" i="33" s="1"/>
  <c r="X16" i="33"/>
  <c r="Y16" i="33"/>
  <c r="Z16" i="33"/>
  <c r="X17" i="33"/>
  <c r="Y17" i="33"/>
  <c r="Z17" i="33" s="1"/>
  <c r="X18" i="33"/>
  <c r="Y18" i="33"/>
  <c r="Z18" i="33" s="1"/>
  <c r="X19" i="33"/>
  <c r="Y19" i="33"/>
  <c r="X20" i="33"/>
  <c r="Y20" i="33"/>
  <c r="Z20" i="33" s="1"/>
  <c r="Z21" i="33"/>
  <c r="X22" i="33"/>
  <c r="Y22" i="33"/>
  <c r="Z22" i="33"/>
  <c r="X23" i="33"/>
  <c r="Y8" i="33"/>
  <c r="X8" i="33"/>
  <c r="N8" i="33"/>
  <c r="W19" i="33"/>
  <c r="W9" i="33"/>
  <c r="W12" i="33"/>
  <c r="W13" i="33"/>
  <c r="W15" i="33"/>
  <c r="W16" i="33"/>
  <c r="W17" i="33"/>
  <c r="W18" i="33"/>
  <c r="W20" i="33"/>
  <c r="W21" i="33"/>
  <c r="W22" i="33"/>
  <c r="W23" i="33"/>
  <c r="W8" i="33"/>
  <c r="Z9" i="33" l="1"/>
  <c r="Z19" i="33"/>
  <c r="Z8" i="33"/>
  <c r="G23" i="33"/>
  <c r="I23" i="33" l="1"/>
  <c r="Y23" i="33"/>
  <c r="Z23" i="33" s="1"/>
  <c r="K23" i="33"/>
  <c r="M23" i="33" s="1"/>
  <c r="AK9" i="33" l="1"/>
  <c r="AL9" i="33"/>
  <c r="AK11" i="33"/>
  <c r="AL11" i="33"/>
  <c r="AK12" i="33"/>
  <c r="AL12" i="33"/>
  <c r="AK13" i="33"/>
  <c r="AL13" i="33"/>
  <c r="AK14" i="33"/>
  <c r="AL14" i="33"/>
  <c r="AK15" i="33"/>
  <c r="AL15" i="33"/>
  <c r="AK16" i="33"/>
  <c r="AL16" i="33"/>
  <c r="AK17" i="33"/>
  <c r="AL17" i="33"/>
  <c r="AK18" i="33"/>
  <c r="AL18" i="33"/>
  <c r="AK19" i="33"/>
  <c r="AL19" i="33"/>
  <c r="AK20" i="33"/>
  <c r="AL20" i="33"/>
  <c r="AK21" i="33"/>
  <c r="AL21" i="33"/>
  <c r="AK22" i="33"/>
  <c r="AL22" i="33"/>
  <c r="AK23" i="33"/>
  <c r="AL23" i="33"/>
  <c r="AH9" i="33"/>
  <c r="AI9" i="33"/>
  <c r="AH11" i="33"/>
  <c r="AI11" i="33"/>
  <c r="AH12" i="33"/>
  <c r="AI12" i="33"/>
  <c r="AH13" i="33"/>
  <c r="AI13" i="33"/>
  <c r="AH14" i="33"/>
  <c r="AI14" i="33"/>
  <c r="AH15" i="33"/>
  <c r="AI15" i="33"/>
  <c r="AH16" i="33"/>
  <c r="AI16" i="33"/>
  <c r="AH17" i="33"/>
  <c r="AI17" i="33"/>
  <c r="AH18" i="33"/>
  <c r="AI18" i="33"/>
  <c r="AH19" i="33"/>
  <c r="AI19" i="33"/>
  <c r="AH20" i="33"/>
  <c r="AI20" i="33"/>
  <c r="AH21" i="33"/>
  <c r="AI21" i="33"/>
  <c r="AH22" i="33"/>
  <c r="AI22" i="33"/>
  <c r="AH23" i="33"/>
  <c r="AI23" i="33"/>
  <c r="J11" i="33"/>
  <c r="L9" i="33"/>
  <c r="K9" i="33"/>
  <c r="J15" i="33"/>
  <c r="J13" i="33"/>
  <c r="J9" i="33"/>
  <c r="J16" i="33"/>
  <c r="J17" i="33"/>
  <c r="J18" i="33"/>
  <c r="J19" i="33"/>
  <c r="J20" i="33"/>
  <c r="J21" i="33"/>
  <c r="J22" i="33"/>
  <c r="J23" i="33"/>
  <c r="M9" i="33" l="1"/>
  <c r="AA11" i="32"/>
  <c r="AC11" i="32"/>
  <c r="AA12" i="32"/>
  <c r="AC12" i="32" s="1"/>
  <c r="AA13" i="32"/>
  <c r="AC13" i="32"/>
  <c r="AA14" i="32"/>
  <c r="AC14" i="32" s="1"/>
  <c r="AA15" i="32"/>
  <c r="AC15" i="32" s="1"/>
  <c r="AA16" i="32"/>
  <c r="AC16" i="32" s="1"/>
  <c r="AA17" i="32"/>
  <c r="AC17" i="32" s="1"/>
  <c r="AA18" i="32"/>
  <c r="AC18" i="32" s="1"/>
  <c r="AA19" i="32"/>
  <c r="AC19" i="32" s="1"/>
  <c r="AA20" i="32"/>
  <c r="AC20" i="32"/>
  <c r="AA21" i="32"/>
  <c r="AC21" i="32"/>
  <c r="AA22" i="32"/>
  <c r="AC22" i="32"/>
  <c r="AA23" i="32"/>
  <c r="AC23" i="32"/>
  <c r="AC9" i="32"/>
  <c r="AA8" i="32"/>
  <c r="AC8" i="32" s="1"/>
  <c r="X9" i="32"/>
  <c r="U16" i="32"/>
  <c r="AF8" i="32"/>
  <c r="U8" i="32" s="1"/>
  <c r="AG8" i="32"/>
  <c r="V8" i="32" s="1"/>
  <c r="AG9" i="32"/>
  <c r="V9" i="32" s="1"/>
  <c r="AF11" i="32"/>
  <c r="U11" i="32" s="1"/>
  <c r="AG11" i="32"/>
  <c r="V11" i="32" s="1"/>
  <c r="AF12" i="32"/>
  <c r="U12" i="32" s="1"/>
  <c r="AG12" i="32"/>
  <c r="V12" i="32" s="1"/>
  <c r="AF13" i="32"/>
  <c r="U13" i="32" s="1"/>
  <c r="AG13" i="32"/>
  <c r="V13" i="32" s="1"/>
  <c r="AF14" i="32"/>
  <c r="U14" i="32" s="1"/>
  <c r="AG14" i="32"/>
  <c r="V14" i="32" s="1"/>
  <c r="AF15" i="32"/>
  <c r="U15" i="32" s="1"/>
  <c r="AG15" i="32"/>
  <c r="V15" i="32" s="1"/>
  <c r="AF16" i="32"/>
  <c r="AG16" i="32"/>
  <c r="V16" i="32" s="1"/>
  <c r="AF17" i="32"/>
  <c r="U17" i="32" s="1"/>
  <c r="AG17" i="32"/>
  <c r="V17" i="32" s="1"/>
  <c r="AF18" i="32"/>
  <c r="U18" i="32" s="1"/>
  <c r="AG18" i="32"/>
  <c r="V18" i="32" s="1"/>
  <c r="AF19" i="32"/>
  <c r="U19" i="32" s="1"/>
  <c r="AG19" i="32"/>
  <c r="V19" i="32" s="1"/>
  <c r="AF20" i="32"/>
  <c r="U20" i="32" s="1"/>
  <c r="AG20" i="32"/>
  <c r="V20" i="32" s="1"/>
  <c r="AF21" i="32"/>
  <c r="U21" i="32" s="1"/>
  <c r="AG21" i="32"/>
  <c r="V21" i="32" s="1"/>
  <c r="W21" i="32" s="1"/>
  <c r="AF22" i="32"/>
  <c r="U22" i="32" s="1"/>
  <c r="AG22" i="32"/>
  <c r="V22" i="32" s="1"/>
  <c r="AF23" i="32"/>
  <c r="U23" i="32" s="1"/>
  <c r="AG23" i="32"/>
  <c r="V23" i="32" s="1"/>
  <c r="X11" i="32"/>
  <c r="Y11" i="32"/>
  <c r="Z11" i="32"/>
  <c r="X12" i="32"/>
  <c r="Y12" i="32"/>
  <c r="X13" i="32"/>
  <c r="Y13" i="32"/>
  <c r="Z13" i="32"/>
  <c r="X14" i="32"/>
  <c r="Y14" i="32"/>
  <c r="Z14" i="32" s="1"/>
  <c r="X15" i="32"/>
  <c r="Y15" i="32"/>
  <c r="Z15" i="32"/>
  <c r="X16" i="32"/>
  <c r="Y16" i="32"/>
  <c r="Z16" i="32" s="1"/>
  <c r="X17" i="32"/>
  <c r="Y17" i="32"/>
  <c r="X18" i="32"/>
  <c r="Z18" i="32" s="1"/>
  <c r="Y18" i="32"/>
  <c r="X19" i="32"/>
  <c r="Y19" i="32"/>
  <c r="Z19" i="32"/>
  <c r="X20" i="32"/>
  <c r="Y20" i="32"/>
  <c r="X21" i="32"/>
  <c r="Y21" i="32"/>
  <c r="Z21" i="32" s="1"/>
  <c r="X22" i="32"/>
  <c r="Y22" i="32"/>
  <c r="Z22" i="32"/>
  <c r="X23" i="32"/>
  <c r="Y23" i="32"/>
  <c r="K23" i="32"/>
  <c r="K22" i="32"/>
  <c r="K11" i="32"/>
  <c r="K12" i="32"/>
  <c r="J8" i="32"/>
  <c r="J23" i="32"/>
  <c r="J20" i="32"/>
  <c r="J21" i="32"/>
  <c r="J22" i="32"/>
  <c r="J11" i="32"/>
  <c r="J12" i="32"/>
  <c r="J13" i="32"/>
  <c r="J15" i="32"/>
  <c r="J16" i="32"/>
  <c r="J17" i="32"/>
  <c r="J18" i="32"/>
  <c r="J19" i="32"/>
  <c r="J9" i="32"/>
  <c r="M9" i="32" l="1"/>
  <c r="Z23" i="32"/>
  <c r="Z12" i="32"/>
  <c r="P8" i="32"/>
  <c r="W23" i="32"/>
  <c r="Z20" i="32"/>
  <c r="Z17" i="32"/>
  <c r="W17" i="32"/>
  <c r="W22" i="32"/>
  <c r="W15" i="32"/>
  <c r="W13" i="32"/>
  <c r="W20" i="32"/>
  <c r="W18" i="32"/>
  <c r="W16" i="32"/>
  <c r="W14" i="32"/>
  <c r="W12" i="32"/>
  <c r="W8" i="32"/>
  <c r="W19" i="32"/>
  <c r="AG23" i="33"/>
  <c r="O23" i="33"/>
  <c r="N23" i="33"/>
  <c r="AG22" i="33"/>
  <c r="N22" i="33"/>
  <c r="L22" i="33"/>
  <c r="K22" i="33"/>
  <c r="AG21" i="33"/>
  <c r="O21" i="33"/>
  <c r="N21" i="33"/>
  <c r="L21" i="33"/>
  <c r="K21" i="33"/>
  <c r="AG20" i="33"/>
  <c r="O20" i="33"/>
  <c r="N20" i="33"/>
  <c r="L20" i="33"/>
  <c r="K20" i="33"/>
  <c r="AG19" i="33"/>
  <c r="O19" i="33"/>
  <c r="N19" i="33"/>
  <c r="L19" i="33"/>
  <c r="K19" i="33"/>
  <c r="AG18" i="33"/>
  <c r="O18" i="33"/>
  <c r="N18" i="33"/>
  <c r="L18" i="33"/>
  <c r="K18" i="33"/>
  <c r="AG17" i="33"/>
  <c r="O17" i="33"/>
  <c r="N17" i="33"/>
  <c r="L17" i="33"/>
  <c r="K17" i="33"/>
  <c r="AG16" i="33"/>
  <c r="O16" i="33"/>
  <c r="N16" i="33"/>
  <c r="P16" i="33" s="1"/>
  <c r="L16" i="33"/>
  <c r="K16" i="33"/>
  <c r="AG15" i="33"/>
  <c r="O15" i="33"/>
  <c r="N15" i="33"/>
  <c r="L15" i="33"/>
  <c r="K15" i="33"/>
  <c r="AJ14" i="33"/>
  <c r="AG14" i="33"/>
  <c r="O14" i="33"/>
  <c r="N14" i="33"/>
  <c r="L14" i="33"/>
  <c r="K14" i="33"/>
  <c r="AG13" i="33"/>
  <c r="N13" i="33"/>
  <c r="L13" i="33"/>
  <c r="K13" i="33"/>
  <c r="AG12" i="33"/>
  <c r="O12" i="33"/>
  <c r="N12" i="33"/>
  <c r="L12" i="33"/>
  <c r="K12" i="33"/>
  <c r="AG11" i="33"/>
  <c r="O11" i="33"/>
  <c r="N11" i="33"/>
  <c r="L11" i="33"/>
  <c r="K11" i="33"/>
  <c r="AG9" i="33"/>
  <c r="O9" i="33"/>
  <c r="N9" i="33"/>
  <c r="AI8" i="33"/>
  <c r="AH8" i="33"/>
  <c r="AG8" i="33"/>
  <c r="P8" i="33"/>
  <c r="O9" i="32"/>
  <c r="N11" i="32"/>
  <c r="O11" i="32"/>
  <c r="P11" i="32" s="1"/>
  <c r="N12" i="32"/>
  <c r="O12" i="32"/>
  <c r="P12" i="32" s="1"/>
  <c r="N13" i="32"/>
  <c r="O13" i="32"/>
  <c r="P13" i="32" s="1"/>
  <c r="N14" i="32"/>
  <c r="O14" i="32"/>
  <c r="P14" i="32" s="1"/>
  <c r="N15" i="32"/>
  <c r="O15" i="32"/>
  <c r="P15" i="32" s="1"/>
  <c r="N16" i="32"/>
  <c r="O16" i="32"/>
  <c r="P16" i="32" s="1"/>
  <c r="N17" i="32"/>
  <c r="O17" i="32"/>
  <c r="P17" i="32" s="1"/>
  <c r="N18" i="32"/>
  <c r="O18" i="32"/>
  <c r="N19" i="32"/>
  <c r="O19" i="32"/>
  <c r="P19" i="32" s="1"/>
  <c r="N20" i="32"/>
  <c r="O20" i="32"/>
  <c r="P20" i="32" s="1"/>
  <c r="N21" i="32"/>
  <c r="O21" i="32"/>
  <c r="P21" i="32" s="1"/>
  <c r="N22" i="32"/>
  <c r="O22" i="32"/>
  <c r="N23" i="32"/>
  <c r="O23" i="32"/>
  <c r="P23" i="32" s="1"/>
  <c r="X8" i="32"/>
  <c r="Y9" i="32"/>
  <c r="L11" i="32"/>
  <c r="L12" i="32"/>
  <c r="L13" i="32"/>
  <c r="L14" i="32"/>
  <c r="L15" i="32"/>
  <c r="L16" i="32"/>
  <c r="L17" i="32"/>
  <c r="L18" i="32"/>
  <c r="L19" i="32"/>
  <c r="L20" i="32"/>
  <c r="L21" i="32"/>
  <c r="L22" i="32"/>
  <c r="L23" i="32"/>
  <c r="M23" i="32" s="1"/>
  <c r="K13" i="32"/>
  <c r="K14" i="32"/>
  <c r="K15" i="32"/>
  <c r="K16" i="32"/>
  <c r="K17" i="32"/>
  <c r="K18" i="32"/>
  <c r="K19" i="32"/>
  <c r="K20" i="32"/>
  <c r="K21" i="32"/>
  <c r="P22" i="32" l="1"/>
  <c r="P9" i="32"/>
  <c r="K8" i="32"/>
  <c r="Y8" i="32"/>
  <c r="P15" i="33"/>
  <c r="L8" i="33"/>
  <c r="M12" i="33"/>
  <c r="AJ13" i="33"/>
  <c r="K8" i="33"/>
  <c r="M15" i="33"/>
  <c r="M22" i="33"/>
  <c r="M19" i="33"/>
  <c r="M13" i="33"/>
  <c r="AJ17" i="33"/>
  <c r="M20" i="33"/>
  <c r="AJ15" i="33"/>
  <c r="AJ20" i="33"/>
  <c r="AJ11" i="33"/>
  <c r="M21" i="33"/>
  <c r="M14" i="33"/>
  <c r="AJ21" i="33"/>
  <c r="AJ12" i="33"/>
  <c r="M17" i="33"/>
  <c r="AJ19" i="33"/>
  <c r="AJ9" i="33"/>
  <c r="AJ22" i="33"/>
  <c r="M11" i="33"/>
  <c r="M18" i="33"/>
  <c r="M16" i="33"/>
  <c r="AJ18" i="33"/>
  <c r="AJ23" i="33"/>
  <c r="AJ16" i="33"/>
  <c r="P19" i="33"/>
  <c r="P9" i="33"/>
  <c r="P22" i="33"/>
  <c r="P13" i="33"/>
  <c r="P23" i="33"/>
  <c r="P11" i="33"/>
  <c r="P12" i="33"/>
  <c r="P20" i="33"/>
  <c r="P21" i="33"/>
  <c r="P17" i="33"/>
  <c r="P18" i="33"/>
  <c r="P14" i="33"/>
  <c r="L8" i="32"/>
  <c r="P18" i="32"/>
  <c r="M22" i="32"/>
  <c r="M21" i="32"/>
  <c r="M20" i="32"/>
  <c r="M16" i="32"/>
  <c r="M15" i="32"/>
  <c r="M14" i="32"/>
  <c r="M13" i="32"/>
  <c r="M12" i="32"/>
  <c r="M11" i="32"/>
  <c r="M19" i="32"/>
  <c r="M18" i="32"/>
  <c r="M17" i="32"/>
  <c r="Z9" i="32"/>
</calcChain>
</file>

<file path=xl/sharedStrings.xml><?xml version="1.0" encoding="utf-8"?>
<sst xmlns="http://schemas.openxmlformats.org/spreadsheetml/2006/main" count="85" uniqueCount="42">
  <si>
    <t>х</t>
  </si>
  <si>
    <t>шу жумладан:</t>
  </si>
  <si>
    <t>млрд. сўм</t>
  </si>
  <si>
    <t>Қорақалпогʻистон Республикаси</t>
  </si>
  <si>
    <t>Андижон</t>
  </si>
  <si>
    <t>Бухоро</t>
  </si>
  <si>
    <t>Жиззах</t>
  </si>
  <si>
    <t>Қашқадарйо</t>
  </si>
  <si>
    <t>Навоий</t>
  </si>
  <si>
    <t>Наманган</t>
  </si>
  <si>
    <t>Самарқанд</t>
  </si>
  <si>
    <t>Сурхондарйо</t>
  </si>
  <si>
    <t>Сирдарйо</t>
  </si>
  <si>
    <t xml:space="preserve">Тошкент </t>
  </si>
  <si>
    <t>Фарғона</t>
  </si>
  <si>
    <t>Хоразм</t>
  </si>
  <si>
    <t>Тошкент ш.</t>
  </si>
  <si>
    <t>Ўзбекистон Республикаси</t>
  </si>
  <si>
    <t>Фарқи</t>
  </si>
  <si>
    <t xml:space="preserve">2025 йил учун алоқа ва ахборотлаштириш хизматлари соҳасининг комплкекс таҳлили </t>
  </si>
  <si>
    <t>Stat ва Itpark ҳисоботи фарқи</t>
  </si>
  <si>
    <t>1-жадвал</t>
  </si>
  <si>
    <t>2-жадвал</t>
  </si>
  <si>
    <t>Фарқи
(+/-)</t>
  </si>
  <si>
    <r>
      <t xml:space="preserve">Жами хизматлар
</t>
    </r>
    <r>
      <rPr>
        <sz val="14"/>
        <color theme="1"/>
        <rFont val="Arial"/>
        <family val="2"/>
        <charset val="204"/>
      </rPr>
      <t>(stat)</t>
    </r>
  </si>
  <si>
    <r>
      <rPr>
        <sz val="14"/>
        <color theme="1"/>
        <rFont val="Arial"/>
        <family val="2"/>
        <charset val="204"/>
      </rPr>
      <t>ITpark резидентлари</t>
    </r>
    <r>
      <rPr>
        <b/>
        <sz val="14"/>
        <color theme="1"/>
        <rFont val="Arial"/>
        <family val="2"/>
        <charset val="204"/>
      </rPr>
      <t xml:space="preserve"> - Алоқа ва ахборот хизматлари </t>
    </r>
    <r>
      <rPr>
        <sz val="14"/>
        <color theme="1"/>
        <rFont val="Arial"/>
        <family val="2"/>
        <charset val="204"/>
      </rPr>
      <t>(my.it-park.uz)</t>
    </r>
  </si>
  <si>
    <r>
      <t xml:space="preserve">Фарқи
</t>
    </r>
    <r>
      <rPr>
        <sz val="14"/>
        <color theme="1"/>
        <rFont val="Arial"/>
        <family val="2"/>
        <charset val="204"/>
      </rPr>
      <t>(+/-)</t>
    </r>
  </si>
  <si>
    <r>
      <t xml:space="preserve">Ўсиш суръати 
</t>
    </r>
    <r>
      <rPr>
        <sz val="14"/>
        <color theme="1"/>
        <rFont val="Arial"/>
        <family val="2"/>
        <charset val="204"/>
      </rPr>
      <t>(% да)</t>
    </r>
  </si>
  <si>
    <r>
      <t xml:space="preserve">Жами хизматлар экспорти
</t>
    </r>
    <r>
      <rPr>
        <sz val="14"/>
        <color theme="1"/>
        <rFont val="Arial"/>
        <family val="2"/>
        <charset val="204"/>
      </rPr>
      <t>(stat)</t>
    </r>
  </si>
  <si>
    <r>
      <rPr>
        <sz val="14"/>
        <color theme="1"/>
        <rFont val="Arial"/>
        <family val="2"/>
        <charset val="204"/>
      </rPr>
      <t xml:space="preserve">Жами химатлар экспортидан - </t>
    </r>
    <r>
      <rPr>
        <b/>
        <sz val="14"/>
        <color theme="1"/>
        <rFont val="Arial"/>
        <family val="2"/>
        <charset val="204"/>
      </rPr>
      <t xml:space="preserve">Алоқа ва ахборот хизматлари экспорти </t>
    </r>
    <r>
      <rPr>
        <sz val="14"/>
        <color theme="1"/>
        <rFont val="Arial"/>
        <family val="2"/>
        <charset val="204"/>
      </rPr>
      <t>(stat)</t>
    </r>
  </si>
  <si>
    <r>
      <rPr>
        <b/>
        <sz val="14"/>
        <color theme="1"/>
        <rFont val="Arial"/>
        <family val="2"/>
        <charset val="204"/>
      </rPr>
      <t>IT-park резидентларининг хизматлар экспорти ҳажми</t>
    </r>
    <r>
      <rPr>
        <sz val="14"/>
        <color theme="1"/>
        <rFont val="Arial"/>
        <family val="2"/>
        <charset val="204"/>
      </rPr>
      <t xml:space="preserve"> (stat)</t>
    </r>
  </si>
  <si>
    <r>
      <rPr>
        <sz val="14"/>
        <color theme="1"/>
        <rFont val="Arial"/>
        <family val="2"/>
        <charset val="204"/>
      </rPr>
      <t>ITpark резидентлари</t>
    </r>
    <r>
      <rPr>
        <b/>
        <sz val="14"/>
        <color theme="1"/>
        <rFont val="Arial"/>
        <family val="2"/>
        <charset val="204"/>
      </rPr>
      <t xml:space="preserve"> - Алоқа ва ахборот хизматлари экспорти </t>
    </r>
    <r>
      <rPr>
        <sz val="14"/>
        <color theme="1"/>
        <rFont val="Arial"/>
        <family val="2"/>
        <charset val="204"/>
      </rPr>
      <t>(my.it-park.uz)</t>
    </r>
  </si>
  <si>
    <r>
      <rPr>
        <i/>
        <vertAlign val="superscript"/>
        <sz val="12"/>
        <color indexed="8"/>
        <rFont val="Arial"/>
        <family val="2"/>
        <charset val="204"/>
      </rPr>
      <t>*)</t>
    </r>
    <r>
      <rPr>
        <i/>
        <sz val="12"/>
        <color indexed="8"/>
        <rFont val="Arial"/>
        <family val="2"/>
        <charset val="204"/>
      </rPr>
      <t>2025 йил тезкор маълумот</t>
    </r>
  </si>
  <si>
    <r>
      <rPr>
        <i/>
        <vertAlign val="superscript"/>
        <sz val="12"/>
        <color indexed="8"/>
        <rFont val="Arial"/>
        <family val="2"/>
        <charset val="204"/>
      </rPr>
      <t>**)</t>
    </r>
    <r>
      <rPr>
        <i/>
        <sz val="12"/>
        <color indexed="8"/>
        <rFont val="Arial"/>
        <family val="2"/>
        <charset val="204"/>
      </rPr>
      <t>ITpark ҳажмлари таҳлил мақсадида Тошкент шахрига қўшилган</t>
    </r>
  </si>
  <si>
    <t xml:space="preserve"> Жами хизматлар экспортидаги АКТ хизматлари улуши</t>
  </si>
  <si>
    <t>АКТ хизматлари экспортида 
ITpark  улуши</t>
  </si>
  <si>
    <r>
      <t xml:space="preserve">Алоқа ва ахборот хизматлари </t>
    </r>
    <r>
      <rPr>
        <sz val="14"/>
        <color theme="1"/>
        <rFont val="Arial"/>
        <family val="2"/>
        <charset val="204"/>
      </rPr>
      <t>(stat)</t>
    </r>
  </si>
  <si>
    <t>АКТ хизматларининг жами хизматлардаги улуши</t>
  </si>
  <si>
    <t>АКТ хизматларида 
ITpark улуши</t>
  </si>
  <si>
    <t xml:space="preserve">2025 йил учун АКТ хизматлар экспортининг комплкекс таҳлили </t>
  </si>
  <si>
    <t>минг. АҚШ долл.</t>
  </si>
  <si>
    <r>
      <t xml:space="preserve">Вилоят улуши
</t>
    </r>
    <r>
      <rPr>
        <sz val="14"/>
        <color theme="1"/>
        <rFont val="Arial"/>
        <family val="2"/>
        <charset val="204"/>
      </rPr>
      <t>(% да)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</si>
</sst>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₽_-;\-* #,##0.00\ _₽_-;_-* &quot;-&quot;??\ _₽_-;_-@_-"/>
    <numFmt numFmtId="164" formatCode="_-* #,##0.00_-;\-* #,##0.00_-;_-* &quot;-&quot;??_-;_-@_-"/>
    <numFmt numFmtId="165" formatCode="#,##0.0_ ;[Red]\-#,##0.0\ "/>
    <numFmt numFmtId="166" formatCode="_-* #,##0.00_р_._-;\-* #,##0.00_р_._-;_-* &quot;-&quot;??_р_._-;_-@_-"/>
    <numFmt numFmtId="167" formatCode="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3"/>
      <color theme="1"/>
      <name val="Arial"/>
      <family val="2"/>
      <charset val="204"/>
    </font>
    <font>
      <sz val="10"/>
      <name val="Arial Cyr"/>
      <charset val="204"/>
    </font>
    <font>
      <sz val="12"/>
      <name val="Times New Roman Cyr"/>
      <charset val="204"/>
    </font>
    <font>
      <sz val="13"/>
      <color indexed="8"/>
      <name val="Arial"/>
      <family val="2"/>
      <charset val="204"/>
    </font>
    <font>
      <b/>
      <sz val="13"/>
      <color indexed="8"/>
      <name val="Arial"/>
      <family val="2"/>
      <charset val="204"/>
    </font>
    <font>
      <b/>
      <i/>
      <sz val="13"/>
      <color rgb="FFC00000"/>
      <name val="Arial"/>
      <family val="2"/>
      <charset val="204"/>
    </font>
    <font>
      <sz val="13"/>
      <name val="Arial"/>
      <family val="2"/>
      <charset val="204"/>
    </font>
    <font>
      <i/>
      <sz val="13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4"/>
      <color rgb="FF000000"/>
      <name val="Arial"/>
      <family val="2"/>
      <charset val="204"/>
    </font>
    <font>
      <b/>
      <sz val="14"/>
      <name val="Arial"/>
      <family val="2"/>
      <charset val="204"/>
    </font>
    <font>
      <i/>
      <sz val="14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sz val="14"/>
      <color rgb="FF000000"/>
      <name val="Arial"/>
      <family val="2"/>
      <charset val="204"/>
    </font>
    <font>
      <sz val="14"/>
      <name val="Arial"/>
      <family val="2"/>
      <charset val="204"/>
    </font>
    <font>
      <sz val="14"/>
      <color indexed="8"/>
      <name val="Arial"/>
      <family val="2"/>
      <charset val="204"/>
    </font>
    <font>
      <b/>
      <sz val="14"/>
      <color indexed="8"/>
      <name val="Arial"/>
      <family val="2"/>
      <charset val="204"/>
    </font>
    <font>
      <b/>
      <sz val="16"/>
      <color rgb="FF002060"/>
      <name val="Arial"/>
      <family val="2"/>
      <charset val="204"/>
    </font>
    <font>
      <sz val="12"/>
      <color indexed="8"/>
      <name val="Arial"/>
      <family val="2"/>
      <charset val="204"/>
    </font>
    <font>
      <b/>
      <sz val="12"/>
      <color indexed="8"/>
      <name val="Arial"/>
      <family val="2"/>
      <charset val="204"/>
    </font>
    <font>
      <sz val="14"/>
      <color rgb="FFFF0000"/>
      <name val="Arial"/>
      <family val="2"/>
      <charset val="204"/>
    </font>
    <font>
      <i/>
      <sz val="12"/>
      <color indexed="8"/>
      <name val="Arial"/>
      <family val="2"/>
      <charset val="204"/>
    </font>
    <font>
      <i/>
      <vertAlign val="superscript"/>
      <sz val="12"/>
      <color indexed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DEEE"/>
        <bgColor indexed="64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7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9" fillId="0" borderId="0" xfId="11" applyFont="1" applyAlignment="1">
      <alignment horizontal="justify" vertical="center" wrapText="1"/>
    </xf>
    <xf numFmtId="166" fontId="10" fillId="0" borderId="0" xfId="11" applyNumberFormat="1" applyFont="1" applyAlignment="1">
      <alignment horizontal="center" vertical="center" wrapText="1"/>
    </xf>
    <xf numFmtId="0" fontId="9" fillId="0" borderId="0" xfId="11" applyFont="1" applyAlignment="1">
      <alignment vertical="center" wrapText="1"/>
    </xf>
    <xf numFmtId="1" fontId="12" fillId="0" borderId="0" xfId="11" applyNumberFormat="1" applyFont="1" applyAlignment="1">
      <alignment horizontal="justify" vertical="center" wrapText="1"/>
    </xf>
    <xf numFmtId="0" fontId="10" fillId="0" borderId="0" xfId="11" applyFont="1" applyAlignment="1">
      <alignment horizontal="center" vertical="center" wrapText="1"/>
    </xf>
    <xf numFmtId="2" fontId="6" fillId="0" borderId="0" xfId="11" applyNumberFormat="1" applyFont="1" applyBorder="1" applyAlignment="1">
      <alignment vertical="center" wrapText="1"/>
    </xf>
    <xf numFmtId="0" fontId="6" fillId="0" borderId="0" xfId="12" applyFont="1" applyBorder="1" applyAlignment="1" applyProtection="1">
      <alignment vertical="center" wrapText="1"/>
      <protection locked="0"/>
    </xf>
    <xf numFmtId="0" fontId="9" fillId="0" borderId="0" xfId="11" applyFont="1" applyFill="1" applyAlignment="1">
      <alignment vertical="center" wrapText="1"/>
    </xf>
    <xf numFmtId="0" fontId="11" fillId="0" borderId="0" xfId="0" applyFont="1" applyFill="1" applyAlignment="1">
      <alignment horizontal="right" vertical="center"/>
    </xf>
    <xf numFmtId="1" fontId="13" fillId="0" borderId="0" xfId="11" applyNumberFormat="1" applyFont="1" applyFill="1" applyAlignment="1">
      <alignment horizontal="right" vertical="center"/>
    </xf>
    <xf numFmtId="0" fontId="10" fillId="0" borderId="0" xfId="11" applyFont="1" applyFill="1" applyAlignment="1">
      <alignment horizontal="center" vertical="center" wrapText="1"/>
    </xf>
    <xf numFmtId="166" fontId="9" fillId="0" borderId="0" xfId="11" applyNumberFormat="1" applyFont="1" applyAlignment="1">
      <alignment horizontal="center" vertical="center" wrapText="1"/>
    </xf>
    <xf numFmtId="2" fontId="6" fillId="3" borderId="0" xfId="11" applyNumberFormat="1" applyFont="1" applyFill="1" applyBorder="1" applyAlignment="1">
      <alignment vertical="center" wrapText="1"/>
    </xf>
    <xf numFmtId="0" fontId="6" fillId="3" borderId="0" xfId="12" applyFont="1" applyFill="1" applyBorder="1" applyAlignment="1" applyProtection="1">
      <alignment vertical="center" wrapText="1"/>
      <protection locked="0"/>
    </xf>
    <xf numFmtId="166" fontId="10" fillId="0" borderId="0" xfId="11" applyNumberFormat="1" applyFont="1" applyFill="1" applyAlignment="1">
      <alignment horizontal="center" vertical="center" wrapText="1"/>
    </xf>
    <xf numFmtId="166" fontId="9" fillId="0" borderId="0" xfId="11" applyNumberFormat="1" applyFont="1" applyFill="1" applyAlignment="1">
      <alignment horizontal="center" vertical="center" wrapText="1"/>
    </xf>
    <xf numFmtId="0" fontId="14" fillId="0" borderId="3" xfId="1" applyFont="1" applyBorder="1" applyAlignment="1">
      <alignment horizontal="left" vertical="center" wrapText="1" indent="1"/>
    </xf>
    <xf numFmtId="165" fontId="15" fillId="4" borderId="1" xfId="13" applyNumberFormat="1" applyFont="1" applyFill="1" applyBorder="1" applyAlignment="1">
      <alignment horizontal="right" vertical="center" wrapText="1"/>
    </xf>
    <xf numFmtId="165" fontId="15" fillId="3" borderId="1" xfId="13" applyNumberFormat="1" applyFont="1" applyFill="1" applyBorder="1" applyAlignment="1">
      <alignment horizontal="right" vertical="center" wrapText="1"/>
    </xf>
    <xf numFmtId="165" fontId="15" fillId="0" borderId="1" xfId="13" applyNumberFormat="1" applyFont="1" applyFill="1" applyBorder="1" applyAlignment="1">
      <alignment horizontal="right" vertical="center" wrapText="1"/>
    </xf>
    <xf numFmtId="165" fontId="16" fillId="0" borderId="1" xfId="13" applyNumberFormat="1" applyFont="1" applyBorder="1" applyAlignment="1">
      <alignment horizontal="right" vertical="center" wrapText="1"/>
    </xf>
    <xf numFmtId="165" fontId="15" fillId="0" borderId="1" xfId="13" applyNumberFormat="1" applyFont="1" applyBorder="1" applyAlignment="1">
      <alignment horizontal="right" vertical="center" wrapText="1"/>
    </xf>
    <xf numFmtId="2" fontId="16" fillId="0" borderId="0" xfId="11" applyNumberFormat="1" applyFont="1" applyFill="1" applyAlignment="1">
      <alignment horizontal="center" vertical="center" wrapText="1"/>
    </xf>
    <xf numFmtId="167" fontId="16" fillId="0" borderId="0" xfId="11" applyNumberFormat="1" applyFont="1" applyAlignment="1">
      <alignment horizontal="center" vertical="center" wrapText="1"/>
    </xf>
    <xf numFmtId="167" fontId="16" fillId="0" borderId="0" xfId="11" applyNumberFormat="1" applyFont="1" applyFill="1" applyAlignment="1">
      <alignment horizontal="center" vertical="center" wrapText="1"/>
    </xf>
    <xf numFmtId="2" fontId="16" fillId="0" borderId="0" xfId="11" applyNumberFormat="1" applyFont="1" applyAlignment="1">
      <alignment horizontal="center" vertical="center" wrapText="1"/>
    </xf>
    <xf numFmtId="0" fontId="17" fillId="0" borderId="3" xfId="3" applyFont="1" applyBorder="1" applyAlignment="1">
      <alignment horizontal="left" vertical="center" wrapText="1" indent="3"/>
    </xf>
    <xf numFmtId="165" fontId="18" fillId="4" borderId="1" xfId="13" applyNumberFormat="1" applyFont="1" applyFill="1" applyBorder="1" applyAlignment="1">
      <alignment horizontal="right" vertical="center" wrapText="1"/>
    </xf>
    <xf numFmtId="165" fontId="18" fillId="3" borderId="1" xfId="13" applyNumberFormat="1" applyFont="1" applyFill="1" applyBorder="1" applyAlignment="1">
      <alignment horizontal="right" vertical="center" wrapText="1"/>
    </xf>
    <xf numFmtId="165" fontId="19" fillId="4" borderId="1" xfId="13" applyNumberFormat="1" applyFont="1" applyFill="1" applyBorder="1" applyAlignment="1">
      <alignment horizontal="right" vertical="center" wrapText="1"/>
    </xf>
    <xf numFmtId="165" fontId="19" fillId="0" borderId="1" xfId="13" applyNumberFormat="1" applyFont="1" applyFill="1" applyBorder="1" applyAlignment="1">
      <alignment horizontal="right" vertical="center" wrapText="1"/>
    </xf>
    <xf numFmtId="165" fontId="19" fillId="0" borderId="1" xfId="13" applyNumberFormat="1" applyFont="1" applyBorder="1" applyAlignment="1">
      <alignment horizontal="right" vertical="center" wrapText="1"/>
    </xf>
    <xf numFmtId="165" fontId="19" fillId="3" borderId="1" xfId="13" applyNumberFormat="1" applyFont="1" applyFill="1" applyBorder="1" applyAlignment="1">
      <alignment horizontal="right" vertical="center" wrapText="1"/>
    </xf>
    <xf numFmtId="165" fontId="19" fillId="0" borderId="2" xfId="13" applyNumberFormat="1" applyFont="1" applyFill="1" applyBorder="1" applyAlignment="1">
      <alignment horizontal="right" vertical="center" wrapText="1"/>
    </xf>
    <xf numFmtId="0" fontId="20" fillId="0" borderId="0" xfId="11" applyFont="1" applyFill="1" applyAlignment="1">
      <alignment vertical="center" wrapText="1"/>
    </xf>
    <xf numFmtId="167" fontId="20" fillId="0" borderId="0" xfId="11" applyNumberFormat="1" applyFont="1" applyAlignment="1">
      <alignment horizontal="center" vertical="center" wrapText="1"/>
    </xf>
    <xf numFmtId="167" fontId="20" fillId="0" borderId="0" xfId="11" applyNumberFormat="1" applyFont="1" applyFill="1" applyAlignment="1">
      <alignment horizontal="center" vertical="center" wrapText="1"/>
    </xf>
    <xf numFmtId="0" fontId="20" fillId="0" borderId="0" xfId="11" applyFont="1" applyAlignment="1">
      <alignment vertical="center" wrapText="1"/>
    </xf>
    <xf numFmtId="0" fontId="17" fillId="0" borderId="3" xfId="3" applyFont="1" applyFill="1" applyBorder="1" applyAlignment="1">
      <alignment horizontal="left" vertical="center" wrapText="1" indent="4"/>
    </xf>
    <xf numFmtId="165" fontId="18" fillId="0" borderId="1" xfId="13" applyNumberFormat="1" applyFont="1" applyFill="1" applyBorder="1" applyAlignment="1">
      <alignment horizontal="right" vertical="center" wrapText="1"/>
    </xf>
    <xf numFmtId="0" fontId="18" fillId="0" borderId="3" xfId="3" applyFont="1" applyBorder="1" applyAlignment="1">
      <alignment horizontal="left" vertical="center" wrapText="1" indent="3"/>
    </xf>
    <xf numFmtId="2" fontId="14" fillId="3" borderId="5" xfId="11" applyNumberFormat="1" applyFont="1" applyFill="1" applyBorder="1" applyAlignment="1">
      <alignment horizontal="center" vertical="center" wrapText="1"/>
    </xf>
    <xf numFmtId="2" fontId="14" fillId="3" borderId="13" xfId="11" applyNumberFormat="1" applyFont="1" applyFill="1" applyBorder="1" applyAlignment="1">
      <alignment horizontal="center" vertical="center" wrapText="1"/>
    </xf>
    <xf numFmtId="0" fontId="21" fillId="0" borderId="0" xfId="11" applyFont="1" applyFill="1" applyAlignment="1">
      <alignment vertical="center" wrapText="1"/>
    </xf>
    <xf numFmtId="0" fontId="21" fillId="0" borderId="0" xfId="11" applyFont="1" applyAlignment="1">
      <alignment vertical="center" wrapText="1"/>
    </xf>
    <xf numFmtId="0" fontId="14" fillId="0" borderId="8" xfId="11" applyNumberFormat="1" applyFont="1" applyFill="1" applyBorder="1" applyAlignment="1">
      <alignment horizontal="center" vertical="center" wrapText="1"/>
    </xf>
    <xf numFmtId="0" fontId="14" fillId="2" borderId="8" xfId="11" applyNumberFormat="1" applyFont="1" applyFill="1" applyBorder="1" applyAlignment="1">
      <alignment horizontal="center" vertical="center" wrapText="1"/>
    </xf>
    <xf numFmtId="0" fontId="14" fillId="2" borderId="11" xfId="11" applyNumberFormat="1" applyFont="1" applyFill="1" applyBorder="1" applyAlignment="1">
      <alignment horizontal="center" vertical="center" wrapText="1"/>
    </xf>
    <xf numFmtId="0" fontId="14" fillId="5" borderId="8" xfId="11" applyNumberFormat="1" applyFont="1" applyFill="1" applyBorder="1" applyAlignment="1">
      <alignment horizontal="center" vertical="center" wrapText="1"/>
    </xf>
    <xf numFmtId="0" fontId="14" fillId="5" borderId="9" xfId="11" applyNumberFormat="1" applyFont="1" applyFill="1" applyBorder="1" applyAlignment="1">
      <alignment horizontal="center" vertical="center" wrapText="1"/>
    </xf>
    <xf numFmtId="0" fontId="22" fillId="0" borderId="0" xfId="11" applyFont="1" applyFill="1" applyAlignment="1">
      <alignment horizontal="center" vertical="center" wrapText="1"/>
    </xf>
    <xf numFmtId="0" fontId="22" fillId="0" borderId="0" xfId="11" applyFont="1" applyAlignment="1">
      <alignment horizontal="center" vertical="center" wrapText="1"/>
    </xf>
    <xf numFmtId="165" fontId="15" fillId="3" borderId="2" xfId="13" applyNumberFormat="1" applyFont="1" applyFill="1" applyBorder="1" applyAlignment="1">
      <alignment horizontal="right" vertical="center" wrapText="1"/>
    </xf>
    <xf numFmtId="165" fontId="19" fillId="3" borderId="2" xfId="13" applyNumberFormat="1" applyFont="1" applyFill="1" applyBorder="1" applyAlignment="1">
      <alignment horizontal="right" vertical="center" wrapText="1"/>
    </xf>
    <xf numFmtId="0" fontId="24" fillId="0" borderId="0" xfId="11" applyFont="1" applyFill="1" applyAlignment="1">
      <alignment vertical="center" wrapText="1"/>
    </xf>
    <xf numFmtId="0" fontId="24" fillId="0" borderId="0" xfId="11" applyFont="1" applyAlignment="1">
      <alignment vertical="center" wrapText="1"/>
    </xf>
    <xf numFmtId="2" fontId="14" fillId="3" borderId="6" xfId="11" applyNumberFormat="1" applyFont="1" applyFill="1" applyBorder="1" applyAlignment="1">
      <alignment horizontal="center" vertical="center" wrapText="1"/>
    </xf>
    <xf numFmtId="2" fontId="14" fillId="3" borderId="4" xfId="11" applyNumberFormat="1" applyFont="1" applyFill="1" applyBorder="1" applyAlignment="1">
      <alignment horizontal="center" vertical="center" wrapText="1"/>
    </xf>
    <xf numFmtId="2" fontId="14" fillId="0" borderId="0" xfId="11" applyNumberFormat="1" applyFont="1" applyBorder="1" applyAlignment="1">
      <alignment vertical="center" wrapText="1"/>
    </xf>
    <xf numFmtId="2" fontId="14" fillId="3" borderId="0" xfId="11" applyNumberFormat="1" applyFont="1" applyFill="1" applyBorder="1" applyAlignment="1">
      <alignment vertical="center" wrapText="1"/>
    </xf>
    <xf numFmtId="0" fontId="14" fillId="0" borderId="0" xfId="12" applyFont="1" applyBorder="1" applyAlignment="1" applyProtection="1">
      <alignment vertical="center" wrapText="1"/>
      <protection locked="0"/>
    </xf>
    <xf numFmtId="0" fontId="14" fillId="3" borderId="0" xfId="12" applyFont="1" applyFill="1" applyBorder="1" applyAlignment="1" applyProtection="1">
      <alignment vertical="center" wrapText="1"/>
      <protection locked="0"/>
    </xf>
    <xf numFmtId="0" fontId="14" fillId="0" borderId="0" xfId="12" applyFont="1" applyFill="1" applyBorder="1" applyAlignment="1" applyProtection="1">
      <alignment vertical="center" wrapText="1"/>
      <protection locked="0"/>
    </xf>
    <xf numFmtId="165" fontId="26" fillId="4" borderId="1" xfId="13" applyNumberFormat="1" applyFont="1" applyFill="1" applyBorder="1" applyAlignment="1">
      <alignment horizontal="right" vertical="center" wrapText="1"/>
    </xf>
    <xf numFmtId="0" fontId="27" fillId="0" borderId="0" xfId="11" applyFont="1" applyAlignment="1">
      <alignment horizontal="justify" vertical="center" wrapText="1"/>
    </xf>
    <xf numFmtId="0" fontId="24" fillId="0" borderId="0" xfId="11" applyFont="1" applyAlignment="1">
      <alignment horizontal="justify" vertical="center" wrapText="1"/>
    </xf>
    <xf numFmtId="166" fontId="25" fillId="0" borderId="0" xfId="11" applyNumberFormat="1" applyFont="1" applyAlignment="1">
      <alignment horizontal="center" vertical="center" wrapText="1"/>
    </xf>
    <xf numFmtId="166" fontId="24" fillId="0" borderId="0" xfId="11" applyNumberFormat="1" applyFont="1" applyFill="1" applyAlignment="1">
      <alignment horizontal="center" vertical="center" wrapText="1"/>
    </xf>
    <xf numFmtId="166" fontId="24" fillId="0" borderId="0" xfId="11" applyNumberFormat="1" applyFont="1" applyAlignment="1">
      <alignment horizontal="center" vertical="center" wrapText="1"/>
    </xf>
    <xf numFmtId="0" fontId="27" fillId="0" borderId="0" xfId="11" applyFont="1" applyAlignment="1">
      <alignment horizontal="left" vertical="center"/>
    </xf>
    <xf numFmtId="166" fontId="25" fillId="0" borderId="0" xfId="11" applyNumberFormat="1" applyFont="1" applyFill="1" applyAlignment="1">
      <alignment horizontal="center" vertical="center" wrapText="1"/>
    </xf>
    <xf numFmtId="0" fontId="14" fillId="5" borderId="24" xfId="11" applyNumberFormat="1" applyFont="1" applyFill="1" applyBorder="1" applyAlignment="1">
      <alignment horizontal="center" vertical="center" wrapText="1"/>
    </xf>
    <xf numFmtId="0" fontId="14" fillId="5" borderId="14" xfId="11" applyNumberFormat="1" applyFont="1" applyFill="1" applyBorder="1" applyAlignment="1">
      <alignment horizontal="center" vertical="center" wrapText="1"/>
    </xf>
    <xf numFmtId="1" fontId="14" fillId="3" borderId="24" xfId="11" applyNumberFormat="1" applyFont="1" applyFill="1" applyBorder="1" applyAlignment="1">
      <alignment horizontal="center" vertical="center" wrapText="1"/>
    </xf>
    <xf numFmtId="1" fontId="14" fillId="3" borderId="14" xfId="11" applyNumberFormat="1" applyFont="1" applyFill="1" applyBorder="1" applyAlignment="1">
      <alignment horizontal="center" vertical="center" wrapText="1"/>
    </xf>
    <xf numFmtId="0" fontId="23" fillId="0" borderId="0" xfId="11" applyFont="1" applyAlignment="1">
      <alignment horizontal="center" vertical="center" wrapText="1"/>
    </xf>
    <xf numFmtId="2" fontId="14" fillId="5" borderId="5" xfId="11" applyNumberFormat="1" applyFont="1" applyFill="1" applyBorder="1" applyAlignment="1">
      <alignment horizontal="center" vertical="center" wrapText="1"/>
    </xf>
    <xf numFmtId="2" fontId="14" fillId="5" borderId="6" xfId="11" applyNumberFormat="1" applyFont="1" applyFill="1" applyBorder="1" applyAlignment="1">
      <alignment horizontal="center" vertical="center" wrapText="1"/>
    </xf>
    <xf numFmtId="2" fontId="14" fillId="5" borderId="16" xfId="11" applyNumberFormat="1" applyFont="1" applyFill="1" applyBorder="1" applyAlignment="1">
      <alignment horizontal="center" vertical="center" wrapText="1"/>
    </xf>
    <xf numFmtId="2" fontId="14" fillId="5" borderId="17" xfId="11" applyNumberFormat="1" applyFont="1" applyFill="1" applyBorder="1" applyAlignment="1">
      <alignment horizontal="center" vertical="center" wrapText="1"/>
    </xf>
    <xf numFmtId="2" fontId="14" fillId="5" borderId="12" xfId="11" applyNumberFormat="1" applyFont="1" applyFill="1" applyBorder="1" applyAlignment="1">
      <alignment horizontal="center" vertical="center" wrapText="1"/>
    </xf>
    <xf numFmtId="0" fontId="14" fillId="5" borderId="21" xfId="11" applyNumberFormat="1" applyFont="1" applyFill="1" applyBorder="1" applyAlignment="1">
      <alignment horizontal="center" vertical="center" wrapText="1"/>
    </xf>
    <xf numFmtId="0" fontId="14" fillId="5" borderId="10" xfId="11" applyNumberFormat="1" applyFont="1" applyFill="1" applyBorder="1" applyAlignment="1">
      <alignment horizontal="center" vertical="center" wrapText="1"/>
    </xf>
    <xf numFmtId="0" fontId="14" fillId="5" borderId="16" xfId="11" applyNumberFormat="1" applyFont="1" applyFill="1" applyBorder="1" applyAlignment="1">
      <alignment horizontal="center" vertical="center" wrapText="1"/>
    </xf>
    <xf numFmtId="0" fontId="14" fillId="5" borderId="8" xfId="11" applyNumberFormat="1" applyFont="1" applyFill="1" applyBorder="1" applyAlignment="1">
      <alignment horizontal="center" vertical="center" wrapText="1"/>
    </xf>
    <xf numFmtId="2" fontId="14" fillId="5" borderId="18" xfId="11" applyNumberFormat="1" applyFont="1" applyFill="1" applyBorder="1" applyAlignment="1">
      <alignment horizontal="center" vertical="center" wrapText="1"/>
    </xf>
    <xf numFmtId="2" fontId="14" fillId="5" borderId="15" xfId="11" applyNumberFormat="1" applyFont="1" applyFill="1" applyBorder="1" applyAlignment="1">
      <alignment horizontal="center" vertical="center" wrapText="1"/>
    </xf>
    <xf numFmtId="2" fontId="14" fillId="2" borderId="5" xfId="11" applyNumberFormat="1" applyFont="1" applyFill="1" applyBorder="1" applyAlignment="1">
      <alignment horizontal="center" vertical="center" wrapText="1"/>
    </xf>
    <xf numFmtId="2" fontId="14" fillId="2" borderId="22" xfId="11" applyNumberFormat="1" applyFont="1" applyFill="1" applyBorder="1" applyAlignment="1">
      <alignment horizontal="center" vertical="center" wrapText="1"/>
    </xf>
    <xf numFmtId="2" fontId="14" fillId="2" borderId="16" xfId="11" applyNumberFormat="1" applyFont="1" applyFill="1" applyBorder="1" applyAlignment="1">
      <alignment horizontal="center" vertical="center" wrapText="1"/>
    </xf>
    <xf numFmtId="2" fontId="14" fillId="2" borderId="23" xfId="11" applyNumberFormat="1" applyFont="1" applyFill="1" applyBorder="1" applyAlignment="1">
      <alignment horizontal="center" vertical="center" wrapText="1"/>
    </xf>
    <xf numFmtId="0" fontId="14" fillId="2" borderId="16" xfId="11" applyNumberFormat="1" applyFont="1" applyFill="1" applyBorder="1" applyAlignment="1">
      <alignment horizontal="center" vertical="center" wrapText="1"/>
    </xf>
    <xf numFmtId="0" fontId="14" fillId="2" borderId="8" xfId="11" applyNumberFormat="1" applyFont="1" applyFill="1" applyBorder="1" applyAlignment="1">
      <alignment horizontal="center" vertical="center" wrapText="1"/>
    </xf>
    <xf numFmtId="2" fontId="14" fillId="0" borderId="5" xfId="11" applyNumberFormat="1" applyFont="1" applyFill="1" applyBorder="1" applyAlignment="1">
      <alignment horizontal="center" vertical="center" wrapText="1"/>
    </xf>
    <xf numFmtId="2" fontId="14" fillId="0" borderId="16" xfId="11" applyNumberFormat="1" applyFont="1" applyFill="1" applyBorder="1" applyAlignment="1">
      <alignment horizontal="center" vertical="center" wrapText="1"/>
    </xf>
    <xf numFmtId="2" fontId="14" fillId="0" borderId="4" xfId="11" applyNumberFormat="1" applyFont="1" applyFill="1" applyBorder="1" applyAlignment="1">
      <alignment horizontal="center" vertical="center" wrapText="1"/>
    </xf>
    <xf numFmtId="2" fontId="14" fillId="0" borderId="15" xfId="11" applyNumberFormat="1" applyFont="1" applyFill="1" applyBorder="1" applyAlignment="1">
      <alignment horizontal="center" vertical="center" wrapText="1"/>
    </xf>
    <xf numFmtId="2" fontId="14" fillId="0" borderId="7" xfId="11" applyNumberFormat="1" applyFont="1" applyFill="1" applyBorder="1" applyAlignment="1">
      <alignment horizontal="center" vertical="center" wrapText="1"/>
    </xf>
    <xf numFmtId="0" fontId="14" fillId="2" borderId="24" xfId="11" applyNumberFormat="1" applyFont="1" applyFill="1" applyBorder="1" applyAlignment="1">
      <alignment horizontal="center" vertical="center" wrapText="1"/>
    </xf>
    <xf numFmtId="0" fontId="14" fillId="2" borderId="14" xfId="11" applyNumberFormat="1" applyFont="1" applyFill="1" applyBorder="1" applyAlignment="1">
      <alignment horizontal="center" vertical="center" wrapText="1"/>
    </xf>
    <xf numFmtId="1" fontId="14" fillId="3" borderId="26" xfId="11" applyNumberFormat="1" applyFont="1" applyFill="1" applyBorder="1" applyAlignment="1">
      <alignment horizontal="center" vertical="center" wrapText="1"/>
    </xf>
    <xf numFmtId="1" fontId="14" fillId="3" borderId="19" xfId="11" applyNumberFormat="1" applyFont="1" applyFill="1" applyBorder="1" applyAlignment="1">
      <alignment horizontal="center" vertical="center" wrapText="1"/>
    </xf>
    <xf numFmtId="1" fontId="14" fillId="3" borderId="25" xfId="11" applyNumberFormat="1" applyFont="1" applyFill="1" applyBorder="1" applyAlignment="1">
      <alignment horizontal="center" vertical="center" wrapText="1"/>
    </xf>
    <xf numFmtId="1" fontId="14" fillId="3" borderId="20" xfId="11" applyNumberFormat="1" applyFont="1" applyFill="1" applyBorder="1" applyAlignment="1">
      <alignment horizontal="center" vertical="center" wrapText="1"/>
    </xf>
    <xf numFmtId="2" fontId="18" fillId="0" borderId="5" xfId="11" applyNumberFormat="1" applyFont="1" applyFill="1" applyBorder="1" applyAlignment="1">
      <alignment horizontal="center" vertical="center" wrapText="1"/>
    </xf>
    <xf numFmtId="0" fontId="14" fillId="0" borderId="24" xfId="11" applyNumberFormat="1" applyFont="1" applyFill="1" applyBorder="1" applyAlignment="1">
      <alignment horizontal="center" vertical="center" wrapText="1"/>
    </xf>
    <xf numFmtId="0" fontId="14" fillId="0" borderId="14" xfId="11" applyNumberFormat="1" applyFont="1" applyFill="1" applyBorder="1" applyAlignment="1">
      <alignment horizontal="center" vertical="center" wrapText="1"/>
    </xf>
    <xf numFmtId="0" fontId="14" fillId="0" borderId="16" xfId="11" applyNumberFormat="1" applyFont="1" applyFill="1" applyBorder="1" applyAlignment="1">
      <alignment horizontal="center" vertical="center" wrapText="1"/>
    </xf>
    <xf numFmtId="0" fontId="14" fillId="0" borderId="8" xfId="11" applyNumberFormat="1" applyFont="1" applyFill="1" applyBorder="1" applyAlignment="1">
      <alignment horizontal="center" vertical="center" wrapText="1"/>
    </xf>
  </cellXfs>
  <cellStyles count="15">
    <cellStyle name="Обычный" xfId="0" builtinId="0"/>
    <cellStyle name="Обычный 13 2" xfId="1"/>
    <cellStyle name="Обычный 2" xfId="2"/>
    <cellStyle name="Обычный 2 2" xfId="13"/>
    <cellStyle name="Обычный 2 2 13" xfId="3"/>
    <cellStyle name="Обычный 3" xfId="5"/>
    <cellStyle name="Обычный 4" xfId="8"/>
    <cellStyle name="Обычный_ИП2006 - Адресная часть" xfId="11"/>
    <cellStyle name="Обычный_форма-образец-ежемес отчет" xfId="12"/>
    <cellStyle name="Процентный 2" xfId="4"/>
    <cellStyle name="Процентный 2 2" xfId="14"/>
    <cellStyle name="Процентный 3" xfId="7"/>
    <cellStyle name="Процентный 4" xfId="9"/>
    <cellStyle name="Финансовый 2" xfId="6"/>
    <cellStyle name="Финансовый 3" xfId="1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EDEEE"/>
      <color rgb="FFFBCFB7"/>
      <color rgb="FFFDCA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"/>
  <sheetViews>
    <sheetView showZeros="0" tabSelected="1" zoomScale="70" zoomScaleNormal="70" zoomScaleSheetLayoutView="85" zoomScalePageLayoutView="70" workbookViewId="0">
      <selection activeCell="B12" sqref="B12"/>
    </sheetView>
  </sheetViews>
  <sheetFormatPr defaultColWidth="9.85546875" defaultRowHeight="16.5" x14ac:dyDescent="0.25"/>
  <cols>
    <col min="1" max="1" width="48.140625" style="1" customWidth="1"/>
    <col min="2" max="3" width="17.7109375" style="1" customWidth="1"/>
    <col min="4" max="4" width="15.5703125" style="1" hidden="1" customWidth="1"/>
    <col min="5" max="5" width="15.5703125" style="1" customWidth="1"/>
    <col min="6" max="16" width="15.5703125" style="2" customWidth="1"/>
    <col min="17" max="17" width="15.5703125" style="2" hidden="1" customWidth="1"/>
    <col min="18" max="18" width="15.5703125" style="1" customWidth="1"/>
    <col min="19" max="29" width="15.5703125" style="2" customWidth="1"/>
    <col min="30" max="31" width="9.85546875" style="8"/>
    <col min="32" max="32" width="12.140625" style="8" bestFit="1" customWidth="1"/>
    <col min="33" max="16384" width="9.85546875" style="3"/>
  </cols>
  <sheetData>
    <row r="1" spans="1:35" x14ac:dyDescent="0.25">
      <c r="AC1" s="9" t="s">
        <v>21</v>
      </c>
    </row>
    <row r="2" spans="1:35" ht="20.25" x14ac:dyDescent="0.25">
      <c r="A2" s="76" t="s">
        <v>19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</row>
    <row r="3" spans="1:35" ht="19.5" customHeight="1" thickBot="1" x14ac:dyDescent="0.3">
      <c r="A3" s="4"/>
      <c r="B3" s="4"/>
      <c r="C3" s="4"/>
      <c r="D3" s="4"/>
      <c r="E3" s="4"/>
      <c r="R3" s="4"/>
      <c r="AC3" s="10" t="s">
        <v>2</v>
      </c>
    </row>
    <row r="4" spans="1:35" s="45" customFormat="1" ht="39.950000000000003" customHeight="1" x14ac:dyDescent="0.25">
      <c r="A4" s="96"/>
      <c r="B4" s="94" t="s">
        <v>24</v>
      </c>
      <c r="C4" s="94"/>
      <c r="D4" s="42"/>
      <c r="E4" s="88" t="s">
        <v>36</v>
      </c>
      <c r="F4" s="88"/>
      <c r="G4" s="88"/>
      <c r="H4" s="88"/>
      <c r="I4" s="88"/>
      <c r="J4" s="88"/>
      <c r="K4" s="88"/>
      <c r="L4" s="88"/>
      <c r="M4" s="88"/>
      <c r="N4" s="88" t="s">
        <v>37</v>
      </c>
      <c r="O4" s="88"/>
      <c r="P4" s="89"/>
      <c r="Q4" s="43"/>
      <c r="R4" s="81" t="s">
        <v>25</v>
      </c>
      <c r="S4" s="77"/>
      <c r="T4" s="77"/>
      <c r="U4" s="77"/>
      <c r="V4" s="77"/>
      <c r="W4" s="77"/>
      <c r="X4" s="77"/>
      <c r="Y4" s="77"/>
      <c r="Z4" s="78"/>
      <c r="AA4" s="77" t="s">
        <v>38</v>
      </c>
      <c r="AB4" s="77"/>
      <c r="AC4" s="78"/>
      <c r="AD4" s="44"/>
      <c r="AE4" s="44"/>
      <c r="AF4" s="44"/>
    </row>
    <row r="5" spans="1:35" s="45" customFormat="1" ht="48.75" customHeight="1" x14ac:dyDescent="0.25">
      <c r="A5" s="97"/>
      <c r="B5" s="95"/>
      <c r="C5" s="95"/>
      <c r="D5" s="74">
        <v>2023</v>
      </c>
      <c r="E5" s="92">
        <v>2024</v>
      </c>
      <c r="F5" s="92">
        <v>2025</v>
      </c>
      <c r="G5" s="99" t="s">
        <v>26</v>
      </c>
      <c r="H5" s="90" t="s">
        <v>27</v>
      </c>
      <c r="I5" s="90"/>
      <c r="J5" s="90"/>
      <c r="K5" s="90" t="s">
        <v>41</v>
      </c>
      <c r="L5" s="90"/>
      <c r="M5" s="90"/>
      <c r="N5" s="90"/>
      <c r="O5" s="90"/>
      <c r="P5" s="91"/>
      <c r="Q5" s="74">
        <v>2023</v>
      </c>
      <c r="R5" s="82">
        <v>2024</v>
      </c>
      <c r="S5" s="84">
        <v>2025</v>
      </c>
      <c r="T5" s="72" t="s">
        <v>26</v>
      </c>
      <c r="U5" s="80" t="s">
        <v>27</v>
      </c>
      <c r="V5" s="86"/>
      <c r="W5" s="87"/>
      <c r="X5" s="80" t="s">
        <v>41</v>
      </c>
      <c r="Y5" s="86"/>
      <c r="Z5" s="86"/>
      <c r="AA5" s="79"/>
      <c r="AB5" s="79"/>
      <c r="AC5" s="80"/>
      <c r="AD5" s="44"/>
      <c r="AE5" s="44"/>
      <c r="AF5" s="44"/>
    </row>
    <row r="6" spans="1:35" s="52" customFormat="1" ht="39.950000000000003" customHeight="1" thickBot="1" x14ac:dyDescent="0.3">
      <c r="A6" s="98"/>
      <c r="B6" s="46">
        <v>2024</v>
      </c>
      <c r="C6" s="46">
        <v>2025</v>
      </c>
      <c r="D6" s="75"/>
      <c r="E6" s="93"/>
      <c r="F6" s="93"/>
      <c r="G6" s="100"/>
      <c r="H6" s="47">
        <v>2024</v>
      </c>
      <c r="I6" s="47">
        <v>2025</v>
      </c>
      <c r="J6" s="47" t="s">
        <v>26</v>
      </c>
      <c r="K6" s="47">
        <v>2024</v>
      </c>
      <c r="L6" s="47">
        <v>2025</v>
      </c>
      <c r="M6" s="47" t="s">
        <v>26</v>
      </c>
      <c r="N6" s="47">
        <v>2024</v>
      </c>
      <c r="O6" s="47">
        <v>2025</v>
      </c>
      <c r="P6" s="48" t="s">
        <v>26</v>
      </c>
      <c r="Q6" s="75"/>
      <c r="R6" s="83"/>
      <c r="S6" s="85"/>
      <c r="T6" s="73"/>
      <c r="U6" s="49">
        <v>2024</v>
      </c>
      <c r="V6" s="49">
        <v>2025</v>
      </c>
      <c r="W6" s="49" t="s">
        <v>26</v>
      </c>
      <c r="X6" s="49">
        <v>2024</v>
      </c>
      <c r="Y6" s="49">
        <v>2025</v>
      </c>
      <c r="Z6" s="50" t="s">
        <v>26</v>
      </c>
      <c r="AA6" s="49">
        <v>2024</v>
      </c>
      <c r="AB6" s="49">
        <v>2025</v>
      </c>
      <c r="AC6" s="50" t="s">
        <v>26</v>
      </c>
      <c r="AD6" s="51"/>
      <c r="AE6" s="51"/>
      <c r="AF6" s="51"/>
    </row>
    <row r="7" spans="1:35" s="5" customFormat="1" ht="9" customHeight="1" x14ac:dyDescent="0.25">
      <c r="A7" s="6"/>
      <c r="B7" s="6"/>
      <c r="C7" s="6"/>
      <c r="D7" s="13"/>
      <c r="E7" s="6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14"/>
      <c r="R7" s="6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11"/>
      <c r="AE7" s="11"/>
      <c r="AF7" s="11"/>
    </row>
    <row r="8" spans="1:35" s="26" customFormat="1" ht="30" customHeight="1" x14ac:dyDescent="0.25">
      <c r="A8" s="17" t="s">
        <v>17</v>
      </c>
      <c r="B8" s="18">
        <v>840146.5</v>
      </c>
      <c r="C8" s="18">
        <v>1050292.5</v>
      </c>
      <c r="D8" s="19">
        <v>39734.199999999997</v>
      </c>
      <c r="E8" s="18">
        <v>56865.2</v>
      </c>
      <c r="F8" s="18">
        <v>79485.5</v>
      </c>
      <c r="G8" s="20">
        <f>F8-E8</f>
        <v>22620.300000000003</v>
      </c>
      <c r="H8" s="18">
        <v>125.4</v>
      </c>
      <c r="I8" s="18">
        <v>122.7</v>
      </c>
      <c r="J8" s="19">
        <f>I8-H8</f>
        <v>-2.7000000000000028</v>
      </c>
      <c r="K8" s="21">
        <f>SUM(K9:K23)</f>
        <v>99.997828548919202</v>
      </c>
      <c r="L8" s="22">
        <f>SUM(L9:L23)</f>
        <v>99.967163822332381</v>
      </c>
      <c r="M8" s="22" t="s">
        <v>0</v>
      </c>
      <c r="N8" s="22">
        <f>E8/B8*100</f>
        <v>6.7684862104406784</v>
      </c>
      <c r="O8" s="22">
        <f>F8/C8*100</f>
        <v>7.5679394073555697</v>
      </c>
      <c r="P8" s="19">
        <f>O8-N8</f>
        <v>0.79945319691489125</v>
      </c>
      <c r="Q8" s="19">
        <v>12471</v>
      </c>
      <c r="R8" s="18">
        <v>20423.3</v>
      </c>
      <c r="S8" s="18">
        <v>33405.28177058899</v>
      </c>
      <c r="T8" s="20">
        <f>S8-R8</f>
        <v>12981.981770588991</v>
      </c>
      <c r="U8" s="20">
        <f>R8/Q8/AF8*10000</f>
        <v>143.4960929904835</v>
      </c>
      <c r="V8" s="20">
        <f>S8/R8/AG8*10000</f>
        <v>143.57950301145067</v>
      </c>
      <c r="W8" s="20">
        <f>V8-U8</f>
        <v>8.3410020967164655E-2</v>
      </c>
      <c r="X8" s="21">
        <f>SUM(X9:X23)</f>
        <v>100</v>
      </c>
      <c r="Y8" s="22">
        <f>SUM(Y9:Y23)</f>
        <v>100.00000000000001</v>
      </c>
      <c r="Z8" s="22" t="s">
        <v>0</v>
      </c>
      <c r="AA8" s="22">
        <f>R8/E8*100</f>
        <v>35.915287381386158</v>
      </c>
      <c r="AB8" s="22">
        <f>S8/F8*100</f>
        <v>42.026887634334557</v>
      </c>
      <c r="AC8" s="53">
        <f>AB8-AA8</f>
        <v>6.1116002529483993</v>
      </c>
      <c r="AD8" s="23"/>
      <c r="AE8" s="23"/>
      <c r="AF8" s="24">
        <f>E8/D8/H8*10000</f>
        <v>114.1259908134209</v>
      </c>
      <c r="AG8" s="25">
        <f>F8/E8/I8*10000</f>
        <v>113.91916074894138</v>
      </c>
      <c r="AH8" s="24"/>
      <c r="AI8" s="24"/>
    </row>
    <row r="9" spans="1:35" s="38" customFormat="1" ht="30" customHeight="1" x14ac:dyDescent="0.25">
      <c r="A9" s="27" t="s">
        <v>3</v>
      </c>
      <c r="B9" s="28">
        <v>28758.799999999999</v>
      </c>
      <c r="C9" s="28">
        <v>35196.199999999997</v>
      </c>
      <c r="D9" s="29">
        <v>770.5</v>
      </c>
      <c r="E9" s="28">
        <v>978.1</v>
      </c>
      <c r="F9" s="30">
        <v>1403.2</v>
      </c>
      <c r="G9" s="31">
        <f>F9-E9</f>
        <v>425.1</v>
      </c>
      <c r="H9" s="28">
        <v>118.7</v>
      </c>
      <c r="I9" s="28">
        <v>127.7</v>
      </c>
      <c r="J9" s="31">
        <f>I9-H9</f>
        <v>9</v>
      </c>
      <c r="K9" s="32">
        <f>E9/$E$8*100</f>
        <v>1.7200326385909133</v>
      </c>
      <c r="L9" s="32">
        <f>F9/$F$8*100</f>
        <v>1.7653534292418116</v>
      </c>
      <c r="M9" s="32">
        <f>L9-K9</f>
        <v>4.5320790650898335E-2</v>
      </c>
      <c r="N9" s="32">
        <f>E9/B9*100</f>
        <v>3.4010459407207532</v>
      </c>
      <c r="O9" s="32">
        <f>F9/C9*100</f>
        <v>3.9867940289008477</v>
      </c>
      <c r="P9" s="32">
        <f>O9-N9</f>
        <v>0.58574808818009449</v>
      </c>
      <c r="Q9" s="33">
        <v>9.1999999999999993</v>
      </c>
      <c r="R9" s="28">
        <v>47.6</v>
      </c>
      <c r="S9" s="30">
        <v>174.82592897700002</v>
      </c>
      <c r="T9" s="31">
        <f>S9-R9</f>
        <v>127.22592897700002</v>
      </c>
      <c r="U9" s="31">
        <f>R9/Q9/AF9*10000</f>
        <v>483.79260811777942</v>
      </c>
      <c r="V9" s="31">
        <f>S9/R9/AG9*10000</f>
        <v>326.92901957302809</v>
      </c>
      <c r="W9" s="31">
        <f>V9-U9</f>
        <v>-156.86358854475134</v>
      </c>
      <c r="X9" s="32">
        <f>R9/$R$8*100</f>
        <v>0.23306713410663313</v>
      </c>
      <c r="Y9" s="32">
        <f>S9/$S$8*100</f>
        <v>0.52334816445380794</v>
      </c>
      <c r="Z9" s="32">
        <f>Y9-X9</f>
        <v>0.29028103034717478</v>
      </c>
      <c r="AA9" s="32">
        <f>R9/E9*100</f>
        <v>4.8665780595031185</v>
      </c>
      <c r="AB9" s="32">
        <f>S9/F9*100</f>
        <v>12.459088439067846</v>
      </c>
      <c r="AC9" s="34">
        <f>AB9-AA9</f>
        <v>7.592510379564728</v>
      </c>
      <c r="AD9" s="35"/>
      <c r="AE9" s="35"/>
      <c r="AF9" s="36">
        <f>E9/D9/H9*10000</f>
        <v>106.94485522645007</v>
      </c>
      <c r="AG9" s="37">
        <f>F9/E9/I9*10000</f>
        <v>112.34284551329559</v>
      </c>
    </row>
    <row r="10" spans="1:35" s="35" customFormat="1" ht="20.100000000000001" customHeight="1" x14ac:dyDescent="0.25">
      <c r="A10" s="39" t="s">
        <v>1</v>
      </c>
      <c r="B10" s="40"/>
      <c r="C10" s="40"/>
      <c r="D10" s="29"/>
      <c r="E10" s="40"/>
      <c r="F10" s="31"/>
      <c r="G10" s="40"/>
      <c r="H10" s="40"/>
      <c r="I10" s="40"/>
      <c r="J10" s="31"/>
      <c r="K10" s="31"/>
      <c r="L10" s="31"/>
      <c r="M10" s="32"/>
      <c r="N10" s="22"/>
      <c r="O10" s="22"/>
      <c r="P10" s="32"/>
      <c r="Q10" s="33"/>
      <c r="R10" s="40"/>
      <c r="S10" s="31"/>
      <c r="T10" s="31"/>
      <c r="U10" s="31"/>
      <c r="V10" s="31"/>
      <c r="W10" s="31"/>
      <c r="X10" s="31"/>
      <c r="Y10" s="31"/>
      <c r="Z10" s="32"/>
      <c r="AA10" s="32"/>
      <c r="AB10" s="32"/>
      <c r="AC10" s="34"/>
      <c r="AF10" s="36"/>
      <c r="AG10" s="37"/>
    </row>
    <row r="11" spans="1:35" s="38" customFormat="1" ht="30" customHeight="1" x14ac:dyDescent="0.25">
      <c r="A11" s="41" t="s">
        <v>4</v>
      </c>
      <c r="B11" s="28">
        <v>43233.1</v>
      </c>
      <c r="C11" s="28">
        <v>53969.599999999999</v>
      </c>
      <c r="D11" s="29">
        <v>1122.7</v>
      </c>
      <c r="E11" s="28">
        <v>1410.2</v>
      </c>
      <c r="F11" s="30">
        <v>1797.7</v>
      </c>
      <c r="G11" s="31">
        <f t="shared" ref="G11:G23" si="0">F11-E11</f>
        <v>387.5</v>
      </c>
      <c r="H11" s="28">
        <v>119.2</v>
      </c>
      <c r="I11" s="28">
        <v>115.1</v>
      </c>
      <c r="J11" s="31">
        <f t="shared" ref="J11:J19" si="1">I11-H11</f>
        <v>-4.1000000000000085</v>
      </c>
      <c r="K11" s="32">
        <f t="shared" ref="K11:K22" si="2">E11/$E$8*100</f>
        <v>2.4798998332899562</v>
      </c>
      <c r="L11" s="32">
        <f t="shared" ref="L11:L23" si="3">F11/$F$8*100</f>
        <v>2.2616703675513143</v>
      </c>
      <c r="M11" s="32">
        <f t="shared" ref="M11:M22" si="4">L11-K11</f>
        <v>-0.21822946573864188</v>
      </c>
      <c r="N11" s="32">
        <f t="shared" ref="N11:N23" si="5">E11/B11*100</f>
        <v>3.2618526083024353</v>
      </c>
      <c r="O11" s="32">
        <f t="shared" ref="O11:O23" si="6">F11/C11*100</f>
        <v>3.3309492751474905</v>
      </c>
      <c r="P11" s="32">
        <f t="shared" ref="P11:P23" si="7">O11-N11</f>
        <v>6.9096666845055221E-2</v>
      </c>
      <c r="Q11" s="33">
        <v>56.2</v>
      </c>
      <c r="R11" s="28">
        <v>185.5</v>
      </c>
      <c r="S11" s="30">
        <v>445.88910758200001</v>
      </c>
      <c r="T11" s="31">
        <f t="shared" ref="T11:T23" si="8">S11-R11</f>
        <v>260.38910758200001</v>
      </c>
      <c r="U11" s="31">
        <f t="shared" ref="U11:U23" si="9">R11/Q11/AF11*10000</f>
        <v>313.23253560359171</v>
      </c>
      <c r="V11" s="31">
        <f t="shared" ref="V11:V23" si="10">S11/R11/AG11*10000</f>
        <v>217.03099670737376</v>
      </c>
      <c r="W11" s="33">
        <f>V11-U11</f>
        <v>-96.201538896217954</v>
      </c>
      <c r="X11" s="32">
        <f t="shared" ref="X11:X23" si="11">R11/$R$8*100</f>
        <v>0.90827633144496733</v>
      </c>
      <c r="Y11" s="32">
        <f t="shared" ref="Y11:Y23" si="12">S11/$S$8*100</f>
        <v>1.3347862492049809</v>
      </c>
      <c r="Z11" s="32">
        <f t="shared" ref="Z11:Z23" si="13">Y11-X11</f>
        <v>0.42650991776001357</v>
      </c>
      <c r="AA11" s="32">
        <f t="shared" ref="AA11:AA23" si="14">R11/E11*100</f>
        <v>13.154162530137569</v>
      </c>
      <c r="AB11" s="32">
        <f t="shared" ref="AB11:AB23" si="15">S11/F11*100</f>
        <v>24.803310206486064</v>
      </c>
      <c r="AC11" s="54">
        <f t="shared" ref="AC11:AC23" si="16">AB11-AA11</f>
        <v>11.649147676348495</v>
      </c>
      <c r="AD11" s="35"/>
      <c r="AE11" s="35"/>
      <c r="AF11" s="36">
        <f t="shared" ref="AF11:AF23" si="17">E11/D11/H11*10000</f>
        <v>105.37576300660619</v>
      </c>
      <c r="AG11" s="37">
        <f t="shared" ref="AG11:AG23" si="18">F11/E11/I11*10000</f>
        <v>110.75444992367265</v>
      </c>
    </row>
    <row r="12" spans="1:35" s="38" customFormat="1" ht="30" customHeight="1" x14ac:dyDescent="0.25">
      <c r="A12" s="41" t="s">
        <v>5</v>
      </c>
      <c r="B12" s="28">
        <v>34441.599999999999</v>
      </c>
      <c r="C12" s="28">
        <v>42659.199999999997</v>
      </c>
      <c r="D12" s="29">
        <v>802.7</v>
      </c>
      <c r="E12" s="28">
        <v>979.7</v>
      </c>
      <c r="F12" s="30">
        <v>1299.2</v>
      </c>
      <c r="G12" s="31">
        <f t="shared" si="0"/>
        <v>319.5</v>
      </c>
      <c r="H12" s="28">
        <v>115.8</v>
      </c>
      <c r="I12" s="28">
        <v>119.3</v>
      </c>
      <c r="J12" s="31">
        <f t="shared" si="1"/>
        <v>3.5</v>
      </c>
      <c r="K12" s="32">
        <f t="shared" si="2"/>
        <v>1.7228463102213658</v>
      </c>
      <c r="L12" s="32">
        <f t="shared" si="3"/>
        <v>1.6345119550106626</v>
      </c>
      <c r="M12" s="32">
        <f t="shared" si="4"/>
        <v>-8.8334355210703208E-2</v>
      </c>
      <c r="N12" s="32">
        <f t="shared" si="5"/>
        <v>2.8445252253089288</v>
      </c>
      <c r="O12" s="32">
        <f t="shared" si="6"/>
        <v>3.0455329682694474</v>
      </c>
      <c r="P12" s="32">
        <f t="shared" si="7"/>
        <v>0.2010077429605186</v>
      </c>
      <c r="Q12" s="33">
        <v>23.9</v>
      </c>
      <c r="R12" s="28">
        <v>59.8</v>
      </c>
      <c r="S12" s="30">
        <v>134.03739742800002</v>
      </c>
      <c r="T12" s="31">
        <f t="shared" si="8"/>
        <v>74.237397428000023</v>
      </c>
      <c r="U12" s="31">
        <f t="shared" si="9"/>
        <v>237.3952349002748</v>
      </c>
      <c r="V12" s="31">
        <f t="shared" si="10"/>
        <v>201.64262500158637</v>
      </c>
      <c r="W12" s="31">
        <f t="shared" ref="W12:W23" si="19">V12-U12</f>
        <v>-35.752609898688434</v>
      </c>
      <c r="X12" s="32">
        <f t="shared" si="11"/>
        <v>0.2928028281423668</v>
      </c>
      <c r="Y12" s="32">
        <f t="shared" si="12"/>
        <v>0.40124612134243554</v>
      </c>
      <c r="Z12" s="32">
        <f t="shared" si="13"/>
        <v>0.10844329320006874</v>
      </c>
      <c r="AA12" s="32">
        <f t="shared" si="14"/>
        <v>6.1039093600081653</v>
      </c>
      <c r="AB12" s="32">
        <f t="shared" si="15"/>
        <v>10.316917905480297</v>
      </c>
      <c r="AC12" s="34">
        <f t="shared" si="16"/>
        <v>4.2130085454721318</v>
      </c>
      <c r="AD12" s="35"/>
      <c r="AE12" s="35"/>
      <c r="AF12" s="36">
        <f t="shared" si="17"/>
        <v>105.39773686949893</v>
      </c>
      <c r="AG12" s="37">
        <f t="shared" si="18"/>
        <v>111.15844433278025</v>
      </c>
    </row>
    <row r="13" spans="1:35" s="38" customFormat="1" ht="30" customHeight="1" x14ac:dyDescent="0.25">
      <c r="A13" s="41" t="s">
        <v>6</v>
      </c>
      <c r="B13" s="28">
        <v>19950.5</v>
      </c>
      <c r="C13" s="28">
        <v>24612.9</v>
      </c>
      <c r="D13" s="29">
        <v>480.1</v>
      </c>
      <c r="E13" s="28">
        <v>696.3</v>
      </c>
      <c r="F13" s="30">
        <v>1101.9000000000001</v>
      </c>
      <c r="G13" s="31">
        <f t="shared" si="0"/>
        <v>405.60000000000014</v>
      </c>
      <c r="H13" s="28">
        <v>134.30000000000001</v>
      </c>
      <c r="I13" s="28">
        <v>140.6</v>
      </c>
      <c r="J13" s="31">
        <f t="shared" si="1"/>
        <v>6.2999999999999829</v>
      </c>
      <c r="K13" s="32">
        <f t="shared" si="2"/>
        <v>1.2244747226774899</v>
      </c>
      <c r="L13" s="32">
        <f t="shared" si="3"/>
        <v>1.3862905813009923</v>
      </c>
      <c r="M13" s="32">
        <f t="shared" si="4"/>
        <v>0.16181585862350234</v>
      </c>
      <c r="N13" s="32">
        <f t="shared" si="5"/>
        <v>3.4901380917771481</v>
      </c>
      <c r="O13" s="32">
        <f t="shared" si="6"/>
        <v>4.4769206391770169</v>
      </c>
      <c r="P13" s="33">
        <f t="shared" si="7"/>
        <v>0.98678254739986881</v>
      </c>
      <c r="Q13" s="33">
        <v>6.2</v>
      </c>
      <c r="R13" s="28">
        <v>64.2</v>
      </c>
      <c r="S13" s="30">
        <v>148.94693218999998</v>
      </c>
      <c r="T13" s="31">
        <f t="shared" si="8"/>
        <v>84.746932189999981</v>
      </c>
      <c r="U13" s="31">
        <f t="shared" si="9"/>
        <v>958.85880807771969</v>
      </c>
      <c r="V13" s="31">
        <f t="shared" si="10"/>
        <v>206.12756234806992</v>
      </c>
      <c r="W13" s="31">
        <f t="shared" si="19"/>
        <v>-752.7312457296498</v>
      </c>
      <c r="X13" s="32">
        <f t="shared" si="11"/>
        <v>0.31434684894213966</v>
      </c>
      <c r="Y13" s="32">
        <f t="shared" si="12"/>
        <v>0.44587838897122345</v>
      </c>
      <c r="Z13" s="32">
        <f t="shared" si="13"/>
        <v>0.13153154002908379</v>
      </c>
      <c r="AA13" s="32">
        <f t="shared" si="14"/>
        <v>9.2201637225333926</v>
      </c>
      <c r="AB13" s="32">
        <f t="shared" si="15"/>
        <v>13.51728216625828</v>
      </c>
      <c r="AC13" s="34">
        <f t="shared" si="16"/>
        <v>4.2971184437248873</v>
      </c>
      <c r="AD13" s="35"/>
      <c r="AE13" s="35"/>
      <c r="AF13" s="36">
        <f t="shared" si="17"/>
        <v>107.99127694760786</v>
      </c>
      <c r="AG13" s="37">
        <f t="shared" si="18"/>
        <v>112.55387907919712</v>
      </c>
    </row>
    <row r="14" spans="1:35" s="38" customFormat="1" ht="30" customHeight="1" x14ac:dyDescent="0.25">
      <c r="A14" s="41" t="s">
        <v>7</v>
      </c>
      <c r="B14" s="28">
        <v>43857.599999999999</v>
      </c>
      <c r="C14" s="28">
        <v>54118</v>
      </c>
      <c r="D14" s="29">
        <v>1083.5</v>
      </c>
      <c r="E14" s="28">
        <v>1364.9</v>
      </c>
      <c r="F14" s="30">
        <v>1802.8</v>
      </c>
      <c r="G14" s="31">
        <f t="shared" si="0"/>
        <v>437.89999999999986</v>
      </c>
      <c r="H14" s="28">
        <v>118.1</v>
      </c>
      <c r="I14" s="28">
        <v>118.1</v>
      </c>
      <c r="J14" s="31">
        <f>I14-H14</f>
        <v>0</v>
      </c>
      <c r="K14" s="32">
        <f t="shared" si="2"/>
        <v>2.4002377552527734</v>
      </c>
      <c r="L14" s="32">
        <f t="shared" si="3"/>
        <v>2.2680866321530342</v>
      </c>
      <c r="M14" s="32">
        <f t="shared" si="4"/>
        <v>-0.1321511230997392</v>
      </c>
      <c r="N14" s="32">
        <f t="shared" si="5"/>
        <v>3.1121173981248407</v>
      </c>
      <c r="O14" s="32">
        <f t="shared" si="6"/>
        <v>3.3312391440925384</v>
      </c>
      <c r="P14" s="32">
        <f t="shared" si="7"/>
        <v>0.21912174596769773</v>
      </c>
      <c r="Q14" s="33">
        <v>13.6</v>
      </c>
      <c r="R14" s="28">
        <v>65.599999999999994</v>
      </c>
      <c r="S14" s="30">
        <v>78.671512089999993</v>
      </c>
      <c r="T14" s="31">
        <f t="shared" si="8"/>
        <v>13.071512089999999</v>
      </c>
      <c r="U14" s="31">
        <f t="shared" si="9"/>
        <v>452.21286196359995</v>
      </c>
      <c r="V14" s="31">
        <f t="shared" si="10"/>
        <v>107.23013188139251</v>
      </c>
      <c r="W14" s="31">
        <f t="shared" si="19"/>
        <v>-344.98273008220747</v>
      </c>
      <c r="X14" s="32">
        <f t="shared" si="11"/>
        <v>0.32120176465115824</v>
      </c>
      <c r="Y14" s="32">
        <f t="shared" si="12"/>
        <v>0.23550620716291862</v>
      </c>
      <c r="Z14" s="32">
        <f t="shared" si="13"/>
        <v>-8.5695557488239621E-2</v>
      </c>
      <c r="AA14" s="32">
        <f t="shared" si="14"/>
        <v>4.8062129093706485</v>
      </c>
      <c r="AB14" s="32">
        <f t="shared" si="15"/>
        <v>4.3638513473485681</v>
      </c>
      <c r="AC14" s="34">
        <f t="shared" si="16"/>
        <v>-0.44236156202208043</v>
      </c>
      <c r="AD14" s="35"/>
      <c r="AE14" s="35"/>
      <c r="AF14" s="36">
        <f t="shared" si="17"/>
        <v>106.66502033621872</v>
      </c>
      <c r="AG14" s="37">
        <f t="shared" si="18"/>
        <v>111.83991234450713</v>
      </c>
    </row>
    <row r="15" spans="1:35" s="38" customFormat="1" ht="30" customHeight="1" x14ac:dyDescent="0.25">
      <c r="A15" s="41" t="s">
        <v>8</v>
      </c>
      <c r="B15" s="28">
        <v>20862.599999999999</v>
      </c>
      <c r="C15" s="28">
        <v>25733.599999999999</v>
      </c>
      <c r="D15" s="29">
        <v>507.9</v>
      </c>
      <c r="E15" s="28">
        <v>674.5</v>
      </c>
      <c r="F15" s="30">
        <v>963.2</v>
      </c>
      <c r="G15" s="31">
        <f t="shared" si="0"/>
        <v>288.70000000000005</v>
      </c>
      <c r="H15" s="28">
        <v>124.6</v>
      </c>
      <c r="I15" s="28">
        <v>127.6</v>
      </c>
      <c r="J15" s="31">
        <f t="shared" si="1"/>
        <v>3</v>
      </c>
      <c r="K15" s="32">
        <f t="shared" si="2"/>
        <v>1.1861384467125764</v>
      </c>
      <c r="L15" s="32">
        <f t="shared" si="3"/>
        <v>1.2117933459561807</v>
      </c>
      <c r="M15" s="32">
        <f t="shared" si="4"/>
        <v>2.5654899243604312E-2</v>
      </c>
      <c r="N15" s="32">
        <f t="shared" si="5"/>
        <v>3.2330581998408636</v>
      </c>
      <c r="O15" s="32">
        <f t="shared" si="6"/>
        <v>3.7429663941306313</v>
      </c>
      <c r="P15" s="32">
        <f t="shared" si="7"/>
        <v>0.50990819428976764</v>
      </c>
      <c r="Q15" s="33">
        <v>22.4</v>
      </c>
      <c r="R15" s="28">
        <v>82.2</v>
      </c>
      <c r="S15" s="30">
        <v>88.269268493000013</v>
      </c>
      <c r="T15" s="31">
        <f t="shared" si="8"/>
        <v>6.0692684930000098</v>
      </c>
      <c r="U15" s="31">
        <f t="shared" si="9"/>
        <v>344.30085433654563</v>
      </c>
      <c r="V15" s="31">
        <f t="shared" si="10"/>
        <v>95.951963093068684</v>
      </c>
      <c r="W15" s="31">
        <f t="shared" si="19"/>
        <v>-248.34889124347694</v>
      </c>
      <c r="X15" s="32">
        <f t="shared" si="11"/>
        <v>0.40248147948666479</v>
      </c>
      <c r="Y15" s="32">
        <f t="shared" si="12"/>
        <v>0.26423746130683717</v>
      </c>
      <c r="Z15" s="32">
        <f t="shared" si="13"/>
        <v>-0.13824401817982762</v>
      </c>
      <c r="AA15" s="32">
        <f t="shared" si="14"/>
        <v>12.186805040770942</v>
      </c>
      <c r="AB15" s="32">
        <f t="shared" si="15"/>
        <v>9.1641682405523266</v>
      </c>
      <c r="AC15" s="54">
        <f t="shared" si="16"/>
        <v>-3.0226368002186152</v>
      </c>
      <c r="AD15" s="35"/>
      <c r="AE15" s="35"/>
      <c r="AF15" s="36">
        <f t="shared" si="17"/>
        <v>106.5824499394321</v>
      </c>
      <c r="AG15" s="37">
        <f t="shared" si="18"/>
        <v>111.91385236015998</v>
      </c>
    </row>
    <row r="16" spans="1:35" s="38" customFormat="1" ht="30" customHeight="1" x14ac:dyDescent="0.25">
      <c r="A16" s="41" t="s">
        <v>9</v>
      </c>
      <c r="B16" s="28">
        <v>44128.5</v>
      </c>
      <c r="C16" s="28">
        <v>56282.9</v>
      </c>
      <c r="D16" s="29">
        <v>1007.4</v>
      </c>
      <c r="E16" s="28">
        <v>1181.8</v>
      </c>
      <c r="F16" s="30">
        <v>1590.7</v>
      </c>
      <c r="G16" s="31">
        <f t="shared" si="0"/>
        <v>408.90000000000009</v>
      </c>
      <c r="H16" s="28">
        <v>111.2</v>
      </c>
      <c r="I16" s="28">
        <v>121.4</v>
      </c>
      <c r="J16" s="33">
        <f t="shared" si="1"/>
        <v>10.200000000000003</v>
      </c>
      <c r="K16" s="32">
        <f t="shared" si="2"/>
        <v>2.0782482080428806</v>
      </c>
      <c r="L16" s="32">
        <f t="shared" si="3"/>
        <v>2.0012455101873927</v>
      </c>
      <c r="M16" s="32">
        <f t="shared" si="4"/>
        <v>-7.7002697855487856E-2</v>
      </c>
      <c r="N16" s="32">
        <f t="shared" si="5"/>
        <v>2.6780878570538311</v>
      </c>
      <c r="O16" s="32">
        <f t="shared" si="6"/>
        <v>2.8262580641722441</v>
      </c>
      <c r="P16" s="32">
        <f t="shared" si="7"/>
        <v>0.148170207118413</v>
      </c>
      <c r="Q16" s="33">
        <v>41</v>
      </c>
      <c r="R16" s="28">
        <v>55.8</v>
      </c>
      <c r="S16" s="30">
        <v>63.815586041000003</v>
      </c>
      <c r="T16" s="31">
        <f t="shared" si="8"/>
        <v>8.0155860410000059</v>
      </c>
      <c r="U16" s="31">
        <f t="shared" si="9"/>
        <v>129.0069448423034</v>
      </c>
      <c r="V16" s="31">
        <f t="shared" si="10"/>
        <v>103.14945893398539</v>
      </c>
      <c r="W16" s="31">
        <f t="shared" si="19"/>
        <v>-25.857485908318012</v>
      </c>
      <c r="X16" s="32">
        <f t="shared" si="11"/>
        <v>0.27321735468802788</v>
      </c>
      <c r="Y16" s="32">
        <f t="shared" si="12"/>
        <v>0.19103441928511183</v>
      </c>
      <c r="Z16" s="32">
        <f t="shared" si="13"/>
        <v>-8.2182935402916046E-2</v>
      </c>
      <c r="AA16" s="32">
        <f t="shared" si="14"/>
        <v>4.7216111017092572</v>
      </c>
      <c r="AB16" s="32">
        <f t="shared" si="15"/>
        <v>4.0117926724712394</v>
      </c>
      <c r="AC16" s="34">
        <f t="shared" si="16"/>
        <v>-0.70981842923801786</v>
      </c>
      <c r="AD16" s="35"/>
      <c r="AE16" s="35"/>
      <c r="AF16" s="36">
        <f t="shared" si="17"/>
        <v>105.49630575468153</v>
      </c>
      <c r="AG16" s="37">
        <f t="shared" si="18"/>
        <v>110.87295146069032</v>
      </c>
    </row>
    <row r="17" spans="1:33" s="38" customFormat="1" ht="30" customHeight="1" x14ac:dyDescent="0.25">
      <c r="A17" s="41" t="s">
        <v>10</v>
      </c>
      <c r="B17" s="28">
        <v>61018</v>
      </c>
      <c r="C17" s="28">
        <v>78163</v>
      </c>
      <c r="D17" s="29">
        <v>1500.9</v>
      </c>
      <c r="E17" s="28">
        <v>2002.3</v>
      </c>
      <c r="F17" s="30">
        <v>2764.3</v>
      </c>
      <c r="G17" s="31">
        <f t="shared" si="0"/>
        <v>762.00000000000023</v>
      </c>
      <c r="H17" s="28">
        <v>124.4</v>
      </c>
      <c r="I17" s="28">
        <v>123.2</v>
      </c>
      <c r="J17" s="31">
        <f t="shared" si="1"/>
        <v>-1.2000000000000028</v>
      </c>
      <c r="K17" s="32">
        <f t="shared" si="2"/>
        <v>3.5211341910342355</v>
      </c>
      <c r="L17" s="32">
        <f t="shared" si="3"/>
        <v>3.4777412232419751</v>
      </c>
      <c r="M17" s="32">
        <f t="shared" si="4"/>
        <v>-4.3392967792260428E-2</v>
      </c>
      <c r="N17" s="32">
        <f t="shared" si="5"/>
        <v>3.2814907076600348</v>
      </c>
      <c r="O17" s="32">
        <f t="shared" si="6"/>
        <v>3.5365838056369383</v>
      </c>
      <c r="P17" s="32">
        <f t="shared" si="7"/>
        <v>0.25509309797690349</v>
      </c>
      <c r="Q17" s="33">
        <v>71.3</v>
      </c>
      <c r="R17" s="28">
        <v>200</v>
      </c>
      <c r="S17" s="30">
        <v>404.15659644799996</v>
      </c>
      <c r="T17" s="31">
        <f t="shared" si="8"/>
        <v>204.15659644799996</v>
      </c>
      <c r="U17" s="31">
        <f t="shared" si="9"/>
        <v>261.5673041920445</v>
      </c>
      <c r="V17" s="31">
        <f t="shared" si="10"/>
        <v>180.33264692319338</v>
      </c>
      <c r="W17" s="33">
        <f t="shared" si="19"/>
        <v>-81.234657268851123</v>
      </c>
      <c r="X17" s="32">
        <f t="shared" si="11"/>
        <v>0.97927367271694576</v>
      </c>
      <c r="Y17" s="32">
        <f t="shared" si="12"/>
        <v>1.2098583667802842</v>
      </c>
      <c r="Z17" s="32">
        <f t="shared" si="13"/>
        <v>0.23058469406333848</v>
      </c>
      <c r="AA17" s="32">
        <f t="shared" si="14"/>
        <v>9.9885132098087208</v>
      </c>
      <c r="AB17" s="32">
        <f t="shared" si="15"/>
        <v>14.620576509351372</v>
      </c>
      <c r="AC17" s="34">
        <f t="shared" si="16"/>
        <v>4.6320632995426507</v>
      </c>
      <c r="AD17" s="35"/>
      <c r="AE17" s="35"/>
      <c r="AF17" s="36">
        <f t="shared" si="17"/>
        <v>107.24005039634311</v>
      </c>
      <c r="AG17" s="37">
        <f t="shared" si="18"/>
        <v>112.05863257254158</v>
      </c>
    </row>
    <row r="18" spans="1:33" s="38" customFormat="1" ht="30" customHeight="1" x14ac:dyDescent="0.25">
      <c r="A18" s="41" t="s">
        <v>11</v>
      </c>
      <c r="B18" s="28">
        <v>28655.200000000001</v>
      </c>
      <c r="C18" s="28">
        <v>35561.300000000003</v>
      </c>
      <c r="D18" s="29">
        <v>873.7</v>
      </c>
      <c r="E18" s="28">
        <v>1078.8</v>
      </c>
      <c r="F18" s="30">
        <v>1428.3</v>
      </c>
      <c r="G18" s="31">
        <f t="shared" si="0"/>
        <v>349.5</v>
      </c>
      <c r="H18" s="28">
        <v>115.3</v>
      </c>
      <c r="I18" s="28">
        <v>118</v>
      </c>
      <c r="J18" s="31">
        <f t="shared" si="1"/>
        <v>2.7000000000000028</v>
      </c>
      <c r="K18" s="32">
        <f t="shared" si="2"/>
        <v>1.897118096832509</v>
      </c>
      <c r="L18" s="32">
        <f t="shared" si="3"/>
        <v>1.7969315158110597</v>
      </c>
      <c r="M18" s="32">
        <f t="shared" si="4"/>
        <v>-0.10018658102144928</v>
      </c>
      <c r="N18" s="32">
        <f t="shared" si="5"/>
        <v>3.7647617186409446</v>
      </c>
      <c r="O18" s="32">
        <f t="shared" si="6"/>
        <v>4.0164448431300315</v>
      </c>
      <c r="P18" s="32">
        <f t="shared" si="7"/>
        <v>0.25168312448908692</v>
      </c>
      <c r="Q18" s="33">
        <v>23.5</v>
      </c>
      <c r="R18" s="28">
        <v>77.7</v>
      </c>
      <c r="S18" s="30">
        <v>136.525746457</v>
      </c>
      <c r="T18" s="31">
        <f t="shared" si="8"/>
        <v>58.825746456999994</v>
      </c>
      <c r="U18" s="31">
        <f t="shared" si="9"/>
        <v>308.74779293777959</v>
      </c>
      <c r="V18" s="31">
        <f t="shared" si="10"/>
        <v>156.60190826150455</v>
      </c>
      <c r="W18" s="31">
        <f t="shared" si="19"/>
        <v>-152.14588467627505</v>
      </c>
      <c r="X18" s="32">
        <f t="shared" si="11"/>
        <v>0.3804478218505335</v>
      </c>
      <c r="Y18" s="32">
        <f t="shared" si="12"/>
        <v>0.4086950901794259</v>
      </c>
      <c r="Z18" s="32">
        <f t="shared" si="13"/>
        <v>2.8247268328892405E-2</v>
      </c>
      <c r="AA18" s="32">
        <f t="shared" si="14"/>
        <v>7.2024471635150178</v>
      </c>
      <c r="AB18" s="32">
        <f t="shared" si="15"/>
        <v>9.5586183894840033</v>
      </c>
      <c r="AC18" s="34">
        <f t="shared" si="16"/>
        <v>2.3561712259689855</v>
      </c>
      <c r="AD18" s="35"/>
      <c r="AE18" s="35"/>
      <c r="AF18" s="36">
        <f t="shared" si="17"/>
        <v>107.09009276674321</v>
      </c>
      <c r="AG18" s="37">
        <f t="shared" si="18"/>
        <v>112.20093889632548</v>
      </c>
    </row>
    <row r="19" spans="1:33" s="38" customFormat="1" ht="30" customHeight="1" x14ac:dyDescent="0.25">
      <c r="A19" s="41" t="s">
        <v>12</v>
      </c>
      <c r="B19" s="28">
        <v>11967.6</v>
      </c>
      <c r="C19" s="28">
        <v>14611.4</v>
      </c>
      <c r="D19" s="29">
        <v>385.9</v>
      </c>
      <c r="E19" s="28">
        <v>476.5</v>
      </c>
      <c r="F19" s="30">
        <v>631.1</v>
      </c>
      <c r="G19" s="31">
        <f t="shared" si="0"/>
        <v>154.60000000000002</v>
      </c>
      <c r="H19" s="28">
        <v>116.9</v>
      </c>
      <c r="I19" s="28">
        <v>118.9</v>
      </c>
      <c r="J19" s="31">
        <f t="shared" si="1"/>
        <v>2</v>
      </c>
      <c r="K19" s="32">
        <f t="shared" si="2"/>
        <v>0.83794658244409592</v>
      </c>
      <c r="L19" s="32">
        <f t="shared" si="3"/>
        <v>0.79398129218536728</v>
      </c>
      <c r="M19" s="32">
        <f t="shared" si="4"/>
        <v>-4.396529025872864E-2</v>
      </c>
      <c r="N19" s="32">
        <f t="shared" si="5"/>
        <v>3.9815836090778434</v>
      </c>
      <c r="O19" s="32">
        <f t="shared" si="6"/>
        <v>4.3192301901255181</v>
      </c>
      <c r="P19" s="32">
        <f t="shared" si="7"/>
        <v>0.33764658104767475</v>
      </c>
      <c r="Q19" s="33">
        <v>5.2</v>
      </c>
      <c r="R19" s="28">
        <v>39.4</v>
      </c>
      <c r="S19" s="30">
        <v>52.543517113999997</v>
      </c>
      <c r="T19" s="31">
        <f t="shared" si="8"/>
        <v>13.143517113999998</v>
      </c>
      <c r="U19" s="31">
        <f t="shared" si="9"/>
        <v>717.33044394220678</v>
      </c>
      <c r="V19" s="31">
        <f t="shared" si="10"/>
        <v>119.72076891300165</v>
      </c>
      <c r="W19" s="31">
        <f t="shared" si="19"/>
        <v>-597.60967502920516</v>
      </c>
      <c r="X19" s="32">
        <f t="shared" si="11"/>
        <v>0.19291691352523835</v>
      </c>
      <c r="Y19" s="32">
        <f t="shared" si="12"/>
        <v>0.15729104599339402</v>
      </c>
      <c r="Z19" s="32">
        <f t="shared" si="13"/>
        <v>-3.5625867531844324E-2</v>
      </c>
      <c r="AA19" s="32">
        <f t="shared" si="14"/>
        <v>8.2686253934942275</v>
      </c>
      <c r="AB19" s="32">
        <f t="shared" si="15"/>
        <v>8.3257038684836004</v>
      </c>
      <c r="AC19" s="34">
        <f t="shared" si="16"/>
        <v>5.7078474989372907E-2</v>
      </c>
      <c r="AD19" s="35"/>
      <c r="AE19" s="35"/>
      <c r="AF19" s="36">
        <f t="shared" si="17"/>
        <v>105.62667653254555</v>
      </c>
      <c r="AG19" s="37">
        <f t="shared" si="18"/>
        <v>111.39185097390649</v>
      </c>
    </row>
    <row r="20" spans="1:33" s="38" customFormat="1" ht="30" customHeight="1" x14ac:dyDescent="0.25">
      <c r="A20" s="41" t="s">
        <v>13</v>
      </c>
      <c r="B20" s="28">
        <v>57341.7</v>
      </c>
      <c r="C20" s="28">
        <v>71783.7</v>
      </c>
      <c r="D20" s="29">
        <v>1347</v>
      </c>
      <c r="E20" s="28">
        <v>1816.4</v>
      </c>
      <c r="F20" s="30">
        <v>2566.6999999999998</v>
      </c>
      <c r="G20" s="31">
        <f t="shared" si="0"/>
        <v>750.29999999999973</v>
      </c>
      <c r="H20" s="28">
        <v>123.5</v>
      </c>
      <c r="I20" s="28">
        <v>125.1</v>
      </c>
      <c r="J20" s="31">
        <f>I20-H20</f>
        <v>1.5999999999999943</v>
      </c>
      <c r="K20" s="32">
        <f t="shared" si="2"/>
        <v>3.1942207184710512</v>
      </c>
      <c r="L20" s="32">
        <f t="shared" si="3"/>
        <v>3.2291424222027918</v>
      </c>
      <c r="M20" s="32">
        <f t="shared" si="4"/>
        <v>3.4921703731740639E-2</v>
      </c>
      <c r="N20" s="32">
        <f t="shared" si="5"/>
        <v>3.167677275002311</v>
      </c>
      <c r="O20" s="32">
        <f t="shared" si="6"/>
        <v>3.5756028179099153</v>
      </c>
      <c r="P20" s="32">
        <f t="shared" si="7"/>
        <v>0.4079255429076043</v>
      </c>
      <c r="Q20" s="33">
        <v>159.30000000000001</v>
      </c>
      <c r="R20" s="28">
        <v>312.2</v>
      </c>
      <c r="S20" s="30">
        <v>796.63088151399995</v>
      </c>
      <c r="T20" s="31">
        <f t="shared" si="8"/>
        <v>484.43088151399996</v>
      </c>
      <c r="U20" s="31">
        <f t="shared" si="9"/>
        <v>179.48996919052232</v>
      </c>
      <c r="V20" s="31">
        <f t="shared" si="10"/>
        <v>225.90088455518853</v>
      </c>
      <c r="W20" s="33">
        <f t="shared" si="19"/>
        <v>46.410915364666209</v>
      </c>
      <c r="X20" s="32">
        <f t="shared" si="11"/>
        <v>1.5286462031111523</v>
      </c>
      <c r="Y20" s="32">
        <f t="shared" si="12"/>
        <v>2.3847452836496581</v>
      </c>
      <c r="Z20" s="33">
        <f t="shared" si="13"/>
        <v>0.85609908053850581</v>
      </c>
      <c r="AA20" s="32">
        <f t="shared" si="14"/>
        <v>17.187844087205459</v>
      </c>
      <c r="AB20" s="32">
        <f t="shared" si="15"/>
        <v>31.037163732185295</v>
      </c>
      <c r="AC20" s="54">
        <f t="shared" si="16"/>
        <v>13.849319644979836</v>
      </c>
      <c r="AD20" s="35"/>
      <c r="AE20" s="35"/>
      <c r="AF20" s="36">
        <f t="shared" si="17"/>
        <v>109.18851007937867</v>
      </c>
      <c r="AG20" s="37">
        <f t="shared" si="18"/>
        <v>112.95522049658224</v>
      </c>
    </row>
    <row r="21" spans="1:33" s="38" customFormat="1" ht="30" customHeight="1" x14ac:dyDescent="0.25">
      <c r="A21" s="41" t="s">
        <v>14</v>
      </c>
      <c r="B21" s="28">
        <v>56780.6</v>
      </c>
      <c r="C21" s="28">
        <v>71765.899999999994</v>
      </c>
      <c r="D21" s="29">
        <v>1680.6</v>
      </c>
      <c r="E21" s="28">
        <v>2081.9</v>
      </c>
      <c r="F21" s="30">
        <v>2806.8</v>
      </c>
      <c r="G21" s="31">
        <f t="shared" si="0"/>
        <v>724.90000000000009</v>
      </c>
      <c r="H21" s="28">
        <v>115.3</v>
      </c>
      <c r="I21" s="28">
        <v>119.7</v>
      </c>
      <c r="J21" s="31">
        <f>I21-H21</f>
        <v>4.4000000000000057</v>
      </c>
      <c r="K21" s="32">
        <f t="shared" si="2"/>
        <v>3.6611143546492411</v>
      </c>
      <c r="L21" s="32">
        <f t="shared" si="3"/>
        <v>3.5312100949229737</v>
      </c>
      <c r="M21" s="32">
        <f t="shared" si="4"/>
        <v>-0.1299042597262674</v>
      </c>
      <c r="N21" s="32">
        <f t="shared" si="5"/>
        <v>3.6665692155419283</v>
      </c>
      <c r="O21" s="32">
        <f t="shared" si="6"/>
        <v>3.9110496767963618</v>
      </c>
      <c r="P21" s="32">
        <f t="shared" si="7"/>
        <v>0.24448046125443357</v>
      </c>
      <c r="Q21" s="33">
        <v>87.8</v>
      </c>
      <c r="R21" s="28">
        <v>161.19999999999999</v>
      </c>
      <c r="S21" s="30">
        <v>429.44487463899998</v>
      </c>
      <c r="T21" s="31">
        <f t="shared" si="8"/>
        <v>268.24487463899999</v>
      </c>
      <c r="U21" s="31">
        <f t="shared" si="9"/>
        <v>170.88514957151565</v>
      </c>
      <c r="V21" s="31">
        <f t="shared" si="10"/>
        <v>236.52929326005597</v>
      </c>
      <c r="W21" s="33">
        <f t="shared" si="19"/>
        <v>65.644143688540311</v>
      </c>
      <c r="X21" s="32">
        <f t="shared" si="11"/>
        <v>0.78929458020985843</v>
      </c>
      <c r="Y21" s="32">
        <f t="shared" si="12"/>
        <v>1.285559803351505</v>
      </c>
      <c r="Z21" s="32">
        <f t="shared" si="13"/>
        <v>0.49626522314164656</v>
      </c>
      <c r="AA21" s="32">
        <f t="shared" si="14"/>
        <v>7.7429271338681005</v>
      </c>
      <c r="AB21" s="32">
        <f t="shared" si="15"/>
        <v>15.30015942136953</v>
      </c>
      <c r="AC21" s="54">
        <f t="shared" si="16"/>
        <v>7.5572322875014297</v>
      </c>
      <c r="AD21" s="35"/>
      <c r="AE21" s="35"/>
      <c r="AF21" s="36">
        <f t="shared" si="17"/>
        <v>107.44004923694808</v>
      </c>
      <c r="AG21" s="37">
        <f t="shared" si="18"/>
        <v>112.63087349961437</v>
      </c>
    </row>
    <row r="22" spans="1:33" s="38" customFormat="1" ht="30" customHeight="1" x14ac:dyDescent="0.25">
      <c r="A22" s="41" t="s">
        <v>15</v>
      </c>
      <c r="B22" s="28">
        <v>29193</v>
      </c>
      <c r="C22" s="28">
        <v>36911.599999999999</v>
      </c>
      <c r="D22" s="29">
        <v>720.7</v>
      </c>
      <c r="E22" s="28">
        <v>1102.2</v>
      </c>
      <c r="F22" s="30">
        <v>1534.4</v>
      </c>
      <c r="G22" s="31">
        <f t="shared" si="0"/>
        <v>432.20000000000005</v>
      </c>
      <c r="H22" s="28">
        <v>140.6</v>
      </c>
      <c r="I22" s="28">
        <v>123.9</v>
      </c>
      <c r="J22" s="33">
        <f>I22-H22</f>
        <v>-16.699999999999989</v>
      </c>
      <c r="K22" s="32">
        <f t="shared" si="2"/>
        <v>1.9382680444278753</v>
      </c>
      <c r="L22" s="32">
        <f t="shared" si="3"/>
        <v>1.9304149813487996</v>
      </c>
      <c r="M22" s="32">
        <f t="shared" si="4"/>
        <v>-7.8530630790756284E-3</v>
      </c>
      <c r="N22" s="32">
        <f t="shared" si="5"/>
        <v>3.7755626348782245</v>
      </c>
      <c r="O22" s="32">
        <f t="shared" si="6"/>
        <v>4.1569587880232772</v>
      </c>
      <c r="P22" s="32">
        <f t="shared" si="7"/>
        <v>0.38139615314505271</v>
      </c>
      <c r="Q22" s="33">
        <v>74.099999999999994</v>
      </c>
      <c r="R22" s="28">
        <v>202.7</v>
      </c>
      <c r="S22" s="30">
        <v>239.66920685600002</v>
      </c>
      <c r="T22" s="31">
        <f t="shared" si="8"/>
        <v>36.969206856000028</v>
      </c>
      <c r="U22" s="31">
        <f t="shared" si="9"/>
        <v>251.48667373876955</v>
      </c>
      <c r="V22" s="31">
        <f t="shared" si="10"/>
        <v>105.23291802458087</v>
      </c>
      <c r="W22" s="31">
        <f t="shared" si="19"/>
        <v>-146.25375571418869</v>
      </c>
      <c r="X22" s="32">
        <f t="shared" si="11"/>
        <v>0.99249386729862465</v>
      </c>
      <c r="Y22" s="32">
        <f t="shared" si="12"/>
        <v>0.7174590189118295</v>
      </c>
      <c r="Z22" s="32">
        <f t="shared" si="13"/>
        <v>-0.27503484838679515</v>
      </c>
      <c r="AA22" s="32">
        <f t="shared" si="14"/>
        <v>18.390491743785155</v>
      </c>
      <c r="AB22" s="32">
        <f t="shared" si="15"/>
        <v>15.619734544838373</v>
      </c>
      <c r="AC22" s="54">
        <f t="shared" si="16"/>
        <v>-2.7707571989467823</v>
      </c>
      <c r="AD22" s="35"/>
      <c r="AE22" s="35"/>
      <c r="AF22" s="36">
        <f t="shared" si="17"/>
        <v>108.77286406194705</v>
      </c>
      <c r="AG22" s="37">
        <f t="shared" si="18"/>
        <v>112.35874424750908</v>
      </c>
    </row>
    <row r="23" spans="1:33" s="38" customFormat="1" ht="30" customHeight="1" x14ac:dyDescent="0.25">
      <c r="A23" s="41" t="s">
        <v>16</v>
      </c>
      <c r="B23" s="28">
        <v>310103.40000000002</v>
      </c>
      <c r="C23" s="28">
        <v>397414.2</v>
      </c>
      <c r="D23" s="29">
        <v>27426.5</v>
      </c>
      <c r="E23" s="28">
        <v>40963.5</v>
      </c>
      <c r="F23" s="30">
        <v>57769.1</v>
      </c>
      <c r="G23" s="31">
        <f t="shared" si="0"/>
        <v>16805.599999999999</v>
      </c>
      <c r="H23" s="28">
        <v>127.6</v>
      </c>
      <c r="I23" s="28">
        <v>123</v>
      </c>
      <c r="J23" s="31">
        <f>I23-H23</f>
        <v>-4.5999999999999943</v>
      </c>
      <c r="K23" s="32">
        <f>E23/$E$8*100+0.1</f>
        <v>72.136148646272233</v>
      </c>
      <c r="L23" s="32">
        <f t="shared" si="3"/>
        <v>72.678790471218022</v>
      </c>
      <c r="M23" s="33">
        <f>L23-K23</f>
        <v>0.54264182494578961</v>
      </c>
      <c r="N23" s="32">
        <f t="shared" si="5"/>
        <v>13.209626208548503</v>
      </c>
      <c r="O23" s="32">
        <f t="shared" si="6"/>
        <v>14.536244552912301</v>
      </c>
      <c r="P23" s="33">
        <f t="shared" si="7"/>
        <v>1.3266183443637978</v>
      </c>
      <c r="Q23" s="33">
        <v>11877.4</v>
      </c>
      <c r="R23" s="28">
        <v>18869.399999999998</v>
      </c>
      <c r="S23" s="30">
        <v>30211.855214759991</v>
      </c>
      <c r="T23" s="31">
        <f t="shared" si="8"/>
        <v>11342.455214759993</v>
      </c>
      <c r="U23" s="31">
        <f t="shared" si="9"/>
        <v>135.72527032595738</v>
      </c>
      <c r="V23" s="31">
        <f t="shared" si="10"/>
        <v>139.64515428315048</v>
      </c>
      <c r="W23" s="33">
        <f t="shared" si="19"/>
        <v>3.9198839571930932</v>
      </c>
      <c r="X23" s="32">
        <f t="shared" si="11"/>
        <v>92.391533199825687</v>
      </c>
      <c r="Y23" s="32">
        <f t="shared" si="12"/>
        <v>90.4403543794066</v>
      </c>
      <c r="Z23" s="33">
        <f t="shared" si="13"/>
        <v>-1.9511788204190879</v>
      </c>
      <c r="AA23" s="32">
        <f t="shared" si="14"/>
        <v>46.063934966494557</v>
      </c>
      <c r="AB23" s="32">
        <f t="shared" si="15"/>
        <v>52.297604108009288</v>
      </c>
      <c r="AC23" s="54">
        <f t="shared" si="16"/>
        <v>6.2336691415147314</v>
      </c>
      <c r="AD23" s="35"/>
      <c r="AE23" s="35"/>
      <c r="AF23" s="36">
        <f t="shared" si="17"/>
        <v>117.05123302766408</v>
      </c>
      <c r="AG23" s="37">
        <f t="shared" si="18"/>
        <v>114.6551148399909</v>
      </c>
    </row>
    <row r="24" spans="1:33" x14ac:dyDescent="0.25">
      <c r="T24" s="16"/>
      <c r="AA24" s="12"/>
      <c r="AB24" s="12"/>
    </row>
    <row r="25" spans="1:33" s="56" customFormat="1" ht="17.25" x14ac:dyDescent="0.25">
      <c r="A25" s="65" t="s">
        <v>32</v>
      </c>
      <c r="B25" s="66"/>
      <c r="C25" s="66"/>
      <c r="D25" s="66"/>
      <c r="E25" s="66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6"/>
      <c r="S25" s="67"/>
      <c r="T25" s="68"/>
      <c r="U25" s="67"/>
      <c r="V25" s="67"/>
      <c r="W25" s="67"/>
      <c r="X25" s="67"/>
      <c r="Y25" s="67"/>
      <c r="Z25" s="67"/>
      <c r="AA25" s="69"/>
      <c r="AB25" s="69"/>
      <c r="AC25" s="67"/>
      <c r="AD25" s="55"/>
      <c r="AE25" s="55"/>
      <c r="AF25" s="55"/>
    </row>
    <row r="26" spans="1:33" s="56" customFormat="1" ht="17.25" x14ac:dyDescent="0.25">
      <c r="A26" s="70" t="s">
        <v>33</v>
      </c>
      <c r="B26" s="66"/>
      <c r="C26" s="66"/>
      <c r="D26" s="66"/>
      <c r="E26" s="66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71"/>
      <c r="U26" s="67"/>
      <c r="V26" s="67"/>
      <c r="W26" s="67"/>
      <c r="X26" s="67"/>
      <c r="Y26" s="67"/>
      <c r="Z26" s="67"/>
      <c r="AA26" s="69"/>
      <c r="AB26" s="69"/>
      <c r="AC26" s="67"/>
      <c r="AD26" s="55"/>
      <c r="AE26" s="55"/>
      <c r="AF26" s="55"/>
    </row>
    <row r="27" spans="1:33" x14ac:dyDescent="0.25">
      <c r="T27" s="15"/>
    </row>
  </sheetData>
  <mergeCells count="19">
    <mergeCell ref="B4:C5"/>
    <mergeCell ref="A4:A6"/>
    <mergeCell ref="G5:G6"/>
    <mergeCell ref="T5:T6"/>
    <mergeCell ref="D5:D6"/>
    <mergeCell ref="Q5:Q6"/>
    <mergeCell ref="A2:AC2"/>
    <mergeCell ref="AA4:AC5"/>
    <mergeCell ref="R4:Z4"/>
    <mergeCell ref="R5:R6"/>
    <mergeCell ref="S5:S6"/>
    <mergeCell ref="U5:W5"/>
    <mergeCell ref="X5:Z5"/>
    <mergeCell ref="N4:P5"/>
    <mergeCell ref="E4:M4"/>
    <mergeCell ref="E5:E6"/>
    <mergeCell ref="F5:F6"/>
    <mergeCell ref="H5:J5"/>
    <mergeCell ref="K5:M5"/>
  </mergeCells>
  <conditionalFormatting sqref="A16">
    <cfRule type="duplicateValues" dxfId="1" priority="1"/>
  </conditionalFormatting>
  <printOptions horizontalCentered="1"/>
  <pageMargins left="0.23622047244094491" right="0.23622047244094491" top="0.35433070866141736" bottom="0.19685039370078741" header="0.23622047244094491" footer="0.23622047244094491"/>
  <pageSetup paperSize="9" scale="80" fitToHeight="10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9"/>
  <sheetViews>
    <sheetView showZeros="0" zoomScale="70" zoomScaleNormal="70" zoomScaleSheetLayoutView="85" zoomScalePageLayoutView="70" workbookViewId="0">
      <selection activeCell="B15" sqref="B15"/>
    </sheetView>
  </sheetViews>
  <sheetFormatPr defaultColWidth="9.85546875" defaultRowHeight="16.5" x14ac:dyDescent="0.25"/>
  <cols>
    <col min="1" max="1" width="46.7109375" style="1" customWidth="1"/>
    <col min="2" max="3" width="16.85546875" style="1" bestFit="1" customWidth="1"/>
    <col min="4" max="4" width="15.5703125" style="1" hidden="1" customWidth="1"/>
    <col min="5" max="5" width="15.5703125" style="1" customWidth="1"/>
    <col min="6" max="16" width="15.5703125" style="2" customWidth="1"/>
    <col min="17" max="17" width="15.5703125" style="2" hidden="1" customWidth="1"/>
    <col min="18" max="26" width="15.5703125" style="2" customWidth="1"/>
    <col min="27" max="27" width="15.5703125" style="2" hidden="1" customWidth="1"/>
    <col min="28" max="28" width="15.5703125" style="1" customWidth="1"/>
    <col min="29" max="38" width="15.5703125" style="2" customWidth="1"/>
    <col min="39" max="41" width="9.85546875" style="8"/>
    <col min="42" max="16384" width="9.85546875" style="3"/>
  </cols>
  <sheetData>
    <row r="1" spans="1:41" x14ac:dyDescent="0.25">
      <c r="AL1" s="9" t="s">
        <v>22</v>
      </c>
    </row>
    <row r="2" spans="1:41" ht="20.25" x14ac:dyDescent="0.25">
      <c r="A2" s="76" t="s">
        <v>39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</row>
    <row r="3" spans="1:41" ht="19.5" customHeight="1" thickBot="1" x14ac:dyDescent="0.3">
      <c r="A3" s="4"/>
      <c r="B3" s="4"/>
      <c r="C3" s="4"/>
      <c r="D3" s="4"/>
      <c r="E3" s="4"/>
      <c r="AB3" s="4"/>
      <c r="AL3" s="10" t="s">
        <v>40</v>
      </c>
    </row>
    <row r="4" spans="1:41" s="45" customFormat="1" ht="39.950000000000003" customHeight="1" x14ac:dyDescent="0.25">
      <c r="A4" s="96"/>
      <c r="B4" s="94" t="s">
        <v>28</v>
      </c>
      <c r="C4" s="94"/>
      <c r="D4" s="42"/>
      <c r="E4" s="88" t="s">
        <v>29</v>
      </c>
      <c r="F4" s="88"/>
      <c r="G4" s="88"/>
      <c r="H4" s="88"/>
      <c r="I4" s="88"/>
      <c r="J4" s="88"/>
      <c r="K4" s="88"/>
      <c r="L4" s="88"/>
      <c r="M4" s="88"/>
      <c r="N4" s="88" t="s">
        <v>34</v>
      </c>
      <c r="O4" s="88"/>
      <c r="P4" s="89"/>
      <c r="Q4" s="57"/>
      <c r="R4" s="105" t="s">
        <v>30</v>
      </c>
      <c r="S4" s="94"/>
      <c r="T4" s="94"/>
      <c r="U4" s="94"/>
      <c r="V4" s="94"/>
      <c r="W4" s="94"/>
      <c r="X4" s="94"/>
      <c r="Y4" s="94"/>
      <c r="Z4" s="94"/>
      <c r="AA4" s="58"/>
      <c r="AB4" s="81" t="s">
        <v>31</v>
      </c>
      <c r="AC4" s="77"/>
      <c r="AD4" s="77"/>
      <c r="AE4" s="77"/>
      <c r="AF4" s="77"/>
      <c r="AG4" s="77"/>
      <c r="AH4" s="77"/>
      <c r="AI4" s="77"/>
      <c r="AJ4" s="78"/>
      <c r="AK4" s="77" t="s">
        <v>20</v>
      </c>
      <c r="AL4" s="77"/>
      <c r="AM4" s="44"/>
      <c r="AN4" s="44"/>
      <c r="AO4" s="44"/>
    </row>
    <row r="5" spans="1:41" s="45" customFormat="1" ht="51.75" customHeight="1" x14ac:dyDescent="0.25">
      <c r="A5" s="97"/>
      <c r="B5" s="95"/>
      <c r="C5" s="95"/>
      <c r="D5" s="74">
        <v>2023</v>
      </c>
      <c r="E5" s="92">
        <v>2024</v>
      </c>
      <c r="F5" s="92">
        <v>2025</v>
      </c>
      <c r="G5" s="99" t="s">
        <v>26</v>
      </c>
      <c r="H5" s="90" t="s">
        <v>27</v>
      </c>
      <c r="I5" s="90"/>
      <c r="J5" s="90"/>
      <c r="K5" s="90" t="s">
        <v>41</v>
      </c>
      <c r="L5" s="90"/>
      <c r="M5" s="90"/>
      <c r="N5" s="90"/>
      <c r="O5" s="90"/>
      <c r="P5" s="91"/>
      <c r="Q5" s="103">
        <v>2023</v>
      </c>
      <c r="R5" s="108">
        <v>2024</v>
      </c>
      <c r="S5" s="108">
        <v>2025</v>
      </c>
      <c r="T5" s="106" t="s">
        <v>18</v>
      </c>
      <c r="U5" s="95" t="s">
        <v>27</v>
      </c>
      <c r="V5" s="95"/>
      <c r="W5" s="95"/>
      <c r="X5" s="95" t="s">
        <v>35</v>
      </c>
      <c r="Y5" s="95"/>
      <c r="Z5" s="95"/>
      <c r="AA5" s="101">
        <v>2023</v>
      </c>
      <c r="AB5" s="82">
        <v>2024</v>
      </c>
      <c r="AC5" s="84">
        <v>2025</v>
      </c>
      <c r="AD5" s="72" t="s">
        <v>23</v>
      </c>
      <c r="AE5" s="80" t="s">
        <v>27</v>
      </c>
      <c r="AF5" s="86"/>
      <c r="AG5" s="87"/>
      <c r="AH5" s="80" t="s">
        <v>41</v>
      </c>
      <c r="AI5" s="86"/>
      <c r="AJ5" s="86"/>
      <c r="AK5" s="79"/>
      <c r="AL5" s="79"/>
      <c r="AM5" s="44"/>
      <c r="AN5" s="44"/>
      <c r="AO5" s="44"/>
    </row>
    <row r="6" spans="1:41" s="52" customFormat="1" ht="39.950000000000003" customHeight="1" thickBot="1" x14ac:dyDescent="0.3">
      <c r="A6" s="98"/>
      <c r="B6" s="46">
        <v>2024</v>
      </c>
      <c r="C6" s="46">
        <v>2025</v>
      </c>
      <c r="D6" s="75"/>
      <c r="E6" s="93"/>
      <c r="F6" s="93"/>
      <c r="G6" s="100"/>
      <c r="H6" s="47">
        <v>2024</v>
      </c>
      <c r="I6" s="47">
        <v>2025</v>
      </c>
      <c r="J6" s="47" t="s">
        <v>26</v>
      </c>
      <c r="K6" s="47">
        <v>2024</v>
      </c>
      <c r="L6" s="47">
        <v>2025</v>
      </c>
      <c r="M6" s="47" t="s">
        <v>26</v>
      </c>
      <c r="N6" s="47">
        <v>2024</v>
      </c>
      <c r="O6" s="47">
        <v>2025</v>
      </c>
      <c r="P6" s="48" t="s">
        <v>26</v>
      </c>
      <c r="Q6" s="104"/>
      <c r="R6" s="109"/>
      <c r="S6" s="109"/>
      <c r="T6" s="107"/>
      <c r="U6" s="46">
        <v>2024</v>
      </c>
      <c r="V6" s="46">
        <v>2025</v>
      </c>
      <c r="W6" s="46" t="s">
        <v>26</v>
      </c>
      <c r="X6" s="46">
        <v>2024</v>
      </c>
      <c r="Y6" s="46">
        <v>2025</v>
      </c>
      <c r="Z6" s="46" t="s">
        <v>26</v>
      </c>
      <c r="AA6" s="102"/>
      <c r="AB6" s="83"/>
      <c r="AC6" s="85"/>
      <c r="AD6" s="73"/>
      <c r="AE6" s="49">
        <v>2024</v>
      </c>
      <c r="AF6" s="49">
        <v>2025</v>
      </c>
      <c r="AG6" s="49" t="s">
        <v>26</v>
      </c>
      <c r="AH6" s="49">
        <v>2024</v>
      </c>
      <c r="AI6" s="49">
        <v>2025</v>
      </c>
      <c r="AJ6" s="50" t="s">
        <v>26</v>
      </c>
      <c r="AK6" s="49">
        <v>2024</v>
      </c>
      <c r="AL6" s="49">
        <v>2025</v>
      </c>
      <c r="AM6" s="51"/>
      <c r="AN6" s="51"/>
      <c r="AO6" s="51"/>
    </row>
    <row r="7" spans="1:41" s="52" customFormat="1" ht="9" customHeight="1" x14ac:dyDescent="0.25">
      <c r="A7" s="59"/>
      <c r="B7" s="59"/>
      <c r="C7" s="59"/>
      <c r="D7" s="60"/>
      <c r="E7" s="59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2"/>
      <c r="R7" s="63"/>
      <c r="S7" s="63"/>
      <c r="T7" s="63"/>
      <c r="U7" s="63"/>
      <c r="V7" s="63"/>
      <c r="W7" s="63"/>
      <c r="X7" s="63"/>
      <c r="Y7" s="63"/>
      <c r="Z7" s="63"/>
      <c r="AA7" s="62"/>
      <c r="AB7" s="59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51"/>
      <c r="AN7" s="51"/>
      <c r="AO7" s="51"/>
    </row>
    <row r="8" spans="1:41" s="26" customFormat="1" ht="30" customHeight="1" x14ac:dyDescent="0.25">
      <c r="A8" s="17" t="s">
        <v>17</v>
      </c>
      <c r="B8" s="18">
        <v>7571700</v>
      </c>
      <c r="C8" s="18">
        <v>9760413.796859581</v>
      </c>
      <c r="D8" s="19">
        <v>540381.28053949983</v>
      </c>
      <c r="E8" s="18">
        <v>640800.96481466922</v>
      </c>
      <c r="F8" s="18">
        <v>921500.24555351143</v>
      </c>
      <c r="G8" s="20">
        <f>F8-E8</f>
        <v>280699.28073884221</v>
      </c>
      <c r="H8" s="20">
        <f>E8/D8*100</f>
        <v>118.58311675321423</v>
      </c>
      <c r="I8" s="20">
        <f>F8/E8*100</f>
        <v>143.80444102796025</v>
      </c>
      <c r="J8" s="19">
        <f>I8-H8</f>
        <v>25.221324274746024</v>
      </c>
      <c r="K8" s="21">
        <f>SUM(K9:K23)</f>
        <v>99.954555357038245</v>
      </c>
      <c r="L8" s="22">
        <f>SUM(L9:L23)</f>
        <v>99.998597251232965</v>
      </c>
      <c r="M8" s="22" t="s">
        <v>0</v>
      </c>
      <c r="N8" s="22">
        <f>E8/B8*100</f>
        <v>8.4631055748995507</v>
      </c>
      <c r="O8" s="22">
        <f>F8/C8*100</f>
        <v>9.4412005959215026</v>
      </c>
      <c r="P8" s="19">
        <f>O8-N8</f>
        <v>0.97809502102195189</v>
      </c>
      <c r="Q8" s="19">
        <v>333440.09999999998</v>
      </c>
      <c r="R8" s="18">
        <v>454899.7</v>
      </c>
      <c r="S8" s="18">
        <v>728399.9</v>
      </c>
      <c r="T8" s="20">
        <f>S8-R8</f>
        <v>273500.2</v>
      </c>
      <c r="U8" s="20">
        <f>R8/Q8*100</f>
        <v>136.42621268407731</v>
      </c>
      <c r="V8" s="20">
        <f>S8/R8*100</f>
        <v>160.12318759497973</v>
      </c>
      <c r="W8" s="19">
        <f>V8-U8</f>
        <v>23.696974910902412</v>
      </c>
      <c r="X8" s="20">
        <f>R8/E8*100</f>
        <v>70.989234563896915</v>
      </c>
      <c r="Y8" s="20">
        <f>S8/F8*100</f>
        <v>79.045003353469198</v>
      </c>
      <c r="Z8" s="19">
        <f>Y8-X8</f>
        <v>8.0557687895722836</v>
      </c>
      <c r="AA8" s="19">
        <v>344.6164</v>
      </c>
      <c r="AB8" s="18">
        <v>466.4434</v>
      </c>
      <c r="AC8" s="18">
        <v>716.42956628599995</v>
      </c>
      <c r="AD8" s="20">
        <f>AC8-AB8</f>
        <v>249.98616628599996</v>
      </c>
      <c r="AE8" s="20">
        <f>AB8/AA8*100</f>
        <v>135.35148066081589</v>
      </c>
      <c r="AF8" s="20">
        <f>AC8/AB8*100</f>
        <v>153.59410515530928</v>
      </c>
      <c r="AG8" s="20">
        <f>AF8/AE8*100</f>
        <v>113.47796448581786</v>
      </c>
      <c r="AH8" s="21">
        <f>SUM(AH9:AH23)</f>
        <v>100</v>
      </c>
      <c r="AI8" s="22">
        <f>SUM(AI9:AI23)</f>
        <v>100</v>
      </c>
      <c r="AJ8" s="22" t="s">
        <v>0</v>
      </c>
      <c r="AK8" s="22">
        <f>R8-AB8</f>
        <v>454433.25660000002</v>
      </c>
      <c r="AL8" s="22">
        <f>S8-AC8</f>
        <v>727683.47043371398</v>
      </c>
      <c r="AM8" s="23"/>
      <c r="AN8" s="23"/>
      <c r="AO8" s="23"/>
    </row>
    <row r="9" spans="1:41" s="38" customFormat="1" ht="30" customHeight="1" x14ac:dyDescent="0.25">
      <c r="A9" s="27" t="s">
        <v>3</v>
      </c>
      <c r="B9" s="28">
        <v>3936.8291336999973</v>
      </c>
      <c r="C9" s="28">
        <v>79130.033799091834</v>
      </c>
      <c r="D9" s="29">
        <v>93.33</v>
      </c>
      <c r="E9" s="28">
        <v>1213.7339999999999</v>
      </c>
      <c r="F9" s="30">
        <v>9161.6137754888478</v>
      </c>
      <c r="G9" s="31">
        <f t="shared" ref="G9:G23" si="0">F9-E9</f>
        <v>7947.8797754888474</v>
      </c>
      <c r="H9" s="40">
        <f>E9/D9*100</f>
        <v>1300.4757312761169</v>
      </c>
      <c r="I9" s="31">
        <f>F9/E9*100</f>
        <v>754.82879901929482</v>
      </c>
      <c r="J9" s="31">
        <f>I9-H9</f>
        <v>-545.64693225682208</v>
      </c>
      <c r="K9" s="32">
        <f>E9/$E$8*100</f>
        <v>0.1894088908481954</v>
      </c>
      <c r="L9" s="32">
        <f>F9/$F$8*100</f>
        <v>0.99420633035054717</v>
      </c>
      <c r="M9" s="32">
        <f>L9-K9</f>
        <v>0.80479743950235183</v>
      </c>
      <c r="N9" s="32">
        <f>E9/B9*100</f>
        <v>30.830243294284955</v>
      </c>
      <c r="O9" s="32">
        <f>F9/C9*100</f>
        <v>11.577922232094377</v>
      </c>
      <c r="P9" s="32">
        <f>O9-N9</f>
        <v>-19.252321062190578</v>
      </c>
      <c r="Q9" s="33">
        <v>437</v>
      </c>
      <c r="R9" s="30">
        <v>1045.5999999999999</v>
      </c>
      <c r="S9" s="30">
        <v>6987</v>
      </c>
      <c r="T9" s="31">
        <f t="shared" ref="T9:T23" si="1">S9-R9</f>
        <v>5941.4</v>
      </c>
      <c r="U9" s="31">
        <f>R9/Q9*100</f>
        <v>239.26773455377571</v>
      </c>
      <c r="V9" s="31">
        <f>S9/R9*100</f>
        <v>668.2287681713849</v>
      </c>
      <c r="W9" s="31">
        <f>V9-U9</f>
        <v>428.96103361760919</v>
      </c>
      <c r="X9" s="31">
        <f>R9/E9*100</f>
        <v>86.147376608054145</v>
      </c>
      <c r="Y9" s="31">
        <f>S9/F9*100</f>
        <v>76.263856687488286</v>
      </c>
      <c r="Z9" s="31">
        <f>Y9-X9</f>
        <v>-9.8835199205658597</v>
      </c>
      <c r="AA9" s="33">
        <v>0.437</v>
      </c>
      <c r="AB9" s="28">
        <v>2.5031999999999996</v>
      </c>
      <c r="AC9" s="30">
        <v>7.0670406799999999</v>
      </c>
      <c r="AD9" s="31">
        <f t="shared" ref="AD9:AD23" si="2">AC9-AB9</f>
        <v>4.5638406800000002</v>
      </c>
      <c r="AE9" s="31">
        <f>AB9/AA9*100</f>
        <v>572.81464530892436</v>
      </c>
      <c r="AF9" s="31">
        <f>AC9/AB9*100</f>
        <v>282.32025727069356</v>
      </c>
      <c r="AG9" s="31">
        <f>AF9/AE9*100</f>
        <v>49.286494258266664</v>
      </c>
      <c r="AH9" s="32">
        <f>AB9/$AB$8*100</f>
        <v>0.53665675192316997</v>
      </c>
      <c r="AI9" s="32">
        <f>AC9/$AC$8*100</f>
        <v>0.98642504616829629</v>
      </c>
      <c r="AJ9" s="32">
        <f>AI9-AH9</f>
        <v>0.44976829424512632</v>
      </c>
      <c r="AK9" s="32">
        <f t="shared" ref="AK9:AK23" si="3">R9-AB9</f>
        <v>1043.0967999999998</v>
      </c>
      <c r="AL9" s="32">
        <f t="shared" ref="AL9:AL23" si="4">S9-AC9</f>
        <v>6979.93295932</v>
      </c>
      <c r="AM9" s="35"/>
      <c r="AN9" s="35"/>
      <c r="AO9" s="35"/>
    </row>
    <row r="10" spans="1:41" s="35" customFormat="1" ht="20.100000000000001" customHeight="1" x14ac:dyDescent="0.25">
      <c r="A10" s="39" t="s">
        <v>1</v>
      </c>
      <c r="B10" s="40"/>
      <c r="C10" s="40"/>
      <c r="D10" s="29"/>
      <c r="E10" s="40"/>
      <c r="F10" s="31"/>
      <c r="G10" s="40"/>
      <c r="H10" s="40"/>
      <c r="I10" s="40"/>
      <c r="J10" s="20"/>
      <c r="K10" s="31"/>
      <c r="L10" s="31"/>
      <c r="M10" s="32"/>
      <c r="N10" s="22"/>
      <c r="O10" s="22"/>
      <c r="P10" s="32"/>
      <c r="Q10" s="33"/>
      <c r="R10" s="31"/>
      <c r="S10" s="31"/>
      <c r="T10" s="31"/>
      <c r="U10" s="20"/>
      <c r="V10" s="20"/>
      <c r="W10" s="20"/>
      <c r="X10" s="20"/>
      <c r="Y10" s="20"/>
      <c r="Z10" s="20"/>
      <c r="AA10" s="19"/>
      <c r="AB10" s="40"/>
      <c r="AC10" s="31"/>
      <c r="AD10" s="31"/>
      <c r="AE10" s="31"/>
      <c r="AF10" s="31"/>
      <c r="AG10" s="31"/>
      <c r="AH10" s="32"/>
      <c r="AI10" s="32"/>
      <c r="AJ10" s="32"/>
      <c r="AK10" s="22"/>
      <c r="AL10" s="22"/>
    </row>
    <row r="11" spans="1:41" s="38" customFormat="1" ht="30" customHeight="1" x14ac:dyDescent="0.25">
      <c r="A11" s="41" t="s">
        <v>4</v>
      </c>
      <c r="B11" s="28">
        <v>38475.687069199972</v>
      </c>
      <c r="C11" s="28">
        <v>24637.595602428817</v>
      </c>
      <c r="D11" s="29">
        <v>1797.83</v>
      </c>
      <c r="E11" s="28">
        <v>6843.8669599999994</v>
      </c>
      <c r="F11" s="30">
        <v>6715.1158971651366</v>
      </c>
      <c r="G11" s="31">
        <f t="shared" si="0"/>
        <v>-128.75106283486275</v>
      </c>
      <c r="H11" s="40">
        <f t="shared" ref="H11:H23" si="5">E11/D11*100</f>
        <v>380.6737544706674</v>
      </c>
      <c r="I11" s="31">
        <f t="shared" ref="I11:I23" si="6">F11/E11*100</f>
        <v>98.118738082032166</v>
      </c>
      <c r="J11" s="31">
        <f>I11-H11</f>
        <v>-282.55501638863524</v>
      </c>
      <c r="K11" s="32">
        <f t="shared" ref="K11:K22" si="7">E11/$E$8*100</f>
        <v>1.0680175804634384</v>
      </c>
      <c r="L11" s="32">
        <f t="shared" ref="L11:L22" si="8">F11/$F$8*100</f>
        <v>0.72871558413222259</v>
      </c>
      <c r="M11" s="32">
        <f t="shared" ref="M11:M22" si="9">L11-K11</f>
        <v>-0.33930199633121583</v>
      </c>
      <c r="N11" s="32">
        <f t="shared" ref="N11:N23" si="10">E11/B11*100</f>
        <v>17.787510714730178</v>
      </c>
      <c r="O11" s="32">
        <f t="shared" ref="O11:O23" si="11">F11/C11*100</f>
        <v>27.255565054015047</v>
      </c>
      <c r="P11" s="32">
        <f t="shared" ref="P11:P23" si="12">O11-N11</f>
        <v>9.4680543392848691</v>
      </c>
      <c r="Q11" s="33">
        <v>3621.9</v>
      </c>
      <c r="R11" s="30">
        <v>12808.1</v>
      </c>
      <c r="S11" s="30">
        <v>25382.5</v>
      </c>
      <c r="T11" s="31">
        <f t="shared" si="1"/>
        <v>12574.4</v>
      </c>
      <c r="U11" s="31">
        <f t="shared" ref="U11:U23" si="13">R11/Q11*100</f>
        <v>353.62931058284329</v>
      </c>
      <c r="V11" s="31">
        <f t="shared" ref="V11:V23" si="14">S11/R11*100</f>
        <v>198.1753733965225</v>
      </c>
      <c r="W11" s="31">
        <f>V11-U11</f>
        <v>-155.45393718632079</v>
      </c>
      <c r="X11" s="31">
        <f t="shared" ref="X11:X23" si="15">R11/E11*100</f>
        <v>187.14712128185496</v>
      </c>
      <c r="Y11" s="31">
        <f t="shared" ref="Y11:Y23" si="16">S11/F11*100</f>
        <v>377.99049768769464</v>
      </c>
      <c r="Z11" s="31">
        <f t="shared" ref="Z11:Z23" si="17">Y11-X11</f>
        <v>190.84337640583968</v>
      </c>
      <c r="AA11" s="33">
        <v>3.5356999999999998</v>
      </c>
      <c r="AB11" s="28">
        <v>12.837999999999999</v>
      </c>
      <c r="AC11" s="30">
        <v>25.960453620000003</v>
      </c>
      <c r="AD11" s="31">
        <f t="shared" si="2"/>
        <v>13.122453620000003</v>
      </c>
      <c r="AE11" s="31">
        <f t="shared" ref="AE11:AE23" si="18">AB11/AA11*100</f>
        <v>363.09641655117798</v>
      </c>
      <c r="AF11" s="31">
        <f t="shared" ref="AF11:AF23" si="19">AC11/AB11*100</f>
        <v>202.2157159993769</v>
      </c>
      <c r="AG11" s="31">
        <f t="shared" ref="AG11:AG23" si="20">AF11/AE11*100</f>
        <v>55.692016440177362</v>
      </c>
      <c r="AH11" s="32">
        <f t="shared" ref="AH11:AH23" si="21">AB11/$AB$8*100</f>
        <v>2.7523167869885174</v>
      </c>
      <c r="AI11" s="32">
        <f t="shared" ref="AI11:AI23" si="22">AC11/$AC$8*100</f>
        <v>3.6235876967752816</v>
      </c>
      <c r="AJ11" s="32">
        <f t="shared" ref="AJ11:AJ23" si="23">AI11-AH11</f>
        <v>0.87127090978676414</v>
      </c>
      <c r="AK11" s="32">
        <f t="shared" si="3"/>
        <v>12795.262000000001</v>
      </c>
      <c r="AL11" s="32">
        <f t="shared" si="4"/>
        <v>25356.539546380001</v>
      </c>
      <c r="AM11" s="35"/>
      <c r="AN11" s="35"/>
      <c r="AO11" s="35"/>
    </row>
    <row r="12" spans="1:41" s="38" customFormat="1" ht="30" customHeight="1" x14ac:dyDescent="0.25">
      <c r="A12" s="41" t="s">
        <v>5</v>
      </c>
      <c r="B12" s="28">
        <v>43144.621911099937</v>
      </c>
      <c r="C12" s="28">
        <v>55050.662810098067</v>
      </c>
      <c r="D12" s="29">
        <v>16</v>
      </c>
      <c r="E12" s="28">
        <v>3431.1211527999999</v>
      </c>
      <c r="F12" s="30">
        <v>5151.10167802043</v>
      </c>
      <c r="G12" s="31">
        <f t="shared" si="0"/>
        <v>1719.9805252204301</v>
      </c>
      <c r="H12" s="40">
        <f t="shared" si="5"/>
        <v>21444.507204999998</v>
      </c>
      <c r="I12" s="31">
        <f t="shared" si="6"/>
        <v>150.12881937488052</v>
      </c>
      <c r="J12" s="31">
        <f>I12-H12</f>
        <v>-21294.378385625118</v>
      </c>
      <c r="K12" s="32">
        <f t="shared" si="7"/>
        <v>0.53544256972090232</v>
      </c>
      <c r="L12" s="32">
        <f t="shared" si="8"/>
        <v>0.55899080905033849</v>
      </c>
      <c r="M12" s="32">
        <f t="shared" si="9"/>
        <v>2.3548239329436171E-2</v>
      </c>
      <c r="N12" s="32">
        <f t="shared" si="10"/>
        <v>7.9526045213001755</v>
      </c>
      <c r="O12" s="32">
        <f t="shared" si="11"/>
        <v>9.3570202702001843</v>
      </c>
      <c r="P12" s="32">
        <f t="shared" si="12"/>
        <v>1.4044157489000089</v>
      </c>
      <c r="Q12" s="33">
        <v>992.4</v>
      </c>
      <c r="R12" s="30">
        <v>3457.8</v>
      </c>
      <c r="S12" s="30">
        <v>7695.6</v>
      </c>
      <c r="T12" s="31">
        <f t="shared" si="1"/>
        <v>4237.8</v>
      </c>
      <c r="U12" s="31">
        <f t="shared" si="13"/>
        <v>348.42805320435309</v>
      </c>
      <c r="V12" s="31">
        <f t="shared" si="14"/>
        <v>222.55769564462952</v>
      </c>
      <c r="W12" s="31">
        <f t="shared" ref="W12:W23" si="24">V12-U12</f>
        <v>-125.87035755972357</v>
      </c>
      <c r="X12" s="31">
        <f t="shared" si="15"/>
        <v>100.77755479949255</v>
      </c>
      <c r="Y12" s="31">
        <f t="shared" si="16"/>
        <v>149.39716746102792</v>
      </c>
      <c r="Z12" s="31">
        <f t="shared" si="17"/>
        <v>48.619612661535371</v>
      </c>
      <c r="AA12" s="33">
        <v>1.1456999999999999</v>
      </c>
      <c r="AB12" s="28">
        <v>3.6640999999999999</v>
      </c>
      <c r="AC12" s="30">
        <v>7.6985636080000006</v>
      </c>
      <c r="AD12" s="31">
        <f t="shared" si="2"/>
        <v>4.0344636080000011</v>
      </c>
      <c r="AE12" s="31">
        <f t="shared" si="18"/>
        <v>319.81321462861132</v>
      </c>
      <c r="AF12" s="31">
        <f t="shared" si="19"/>
        <v>210.10790120356981</v>
      </c>
      <c r="AG12" s="31">
        <f t="shared" si="20"/>
        <v>65.697066785548969</v>
      </c>
      <c r="AH12" s="32">
        <f t="shared" si="21"/>
        <v>0.78554011054717454</v>
      </c>
      <c r="AI12" s="32">
        <f t="shared" si="22"/>
        <v>1.0745736873911651</v>
      </c>
      <c r="AJ12" s="32">
        <f t="shared" si="23"/>
        <v>0.28903357684399056</v>
      </c>
      <c r="AK12" s="32">
        <f t="shared" si="3"/>
        <v>3454.1359000000002</v>
      </c>
      <c r="AL12" s="32">
        <f t="shared" si="4"/>
        <v>7687.9014363920005</v>
      </c>
      <c r="AM12" s="35"/>
      <c r="AN12" s="35"/>
      <c r="AO12" s="35"/>
    </row>
    <row r="13" spans="1:41" s="38" customFormat="1" ht="30" customHeight="1" x14ac:dyDescent="0.25">
      <c r="A13" s="41" t="s">
        <v>6</v>
      </c>
      <c r="B13" s="28">
        <v>7421.6684768000005</v>
      </c>
      <c r="C13" s="28">
        <v>18833.054613922191</v>
      </c>
      <c r="D13" s="29">
        <v>1357.18</v>
      </c>
      <c r="E13" s="28">
        <v>4636.7497499999999</v>
      </c>
      <c r="F13" s="30">
        <v>13669.929390622192</v>
      </c>
      <c r="G13" s="31">
        <f t="shared" si="0"/>
        <v>9033.1796406221911</v>
      </c>
      <c r="H13" s="40">
        <f t="shared" si="5"/>
        <v>341.64589442815247</v>
      </c>
      <c r="I13" s="31">
        <f t="shared" si="6"/>
        <v>294.81706211602625</v>
      </c>
      <c r="J13" s="31">
        <f>I13-H13</f>
        <v>-46.828832312126224</v>
      </c>
      <c r="K13" s="32">
        <f t="shared" si="7"/>
        <v>0.72358657439615881</v>
      </c>
      <c r="L13" s="32">
        <f t="shared" si="8"/>
        <v>1.4834428375448956</v>
      </c>
      <c r="M13" s="32">
        <f t="shared" si="9"/>
        <v>0.75985626314873678</v>
      </c>
      <c r="N13" s="32">
        <f t="shared" si="10"/>
        <v>62.475840365200831</v>
      </c>
      <c r="O13" s="32">
        <f>F13/C13*100</f>
        <v>72.584770080350111</v>
      </c>
      <c r="P13" s="32">
        <f t="shared" si="12"/>
        <v>10.10892971514928</v>
      </c>
      <c r="Q13" s="33">
        <v>366.4</v>
      </c>
      <c r="R13" s="30">
        <v>3665.9</v>
      </c>
      <c r="S13" s="30">
        <v>8662.2000000000007</v>
      </c>
      <c r="T13" s="31">
        <f t="shared" si="1"/>
        <v>4996.3000000000011</v>
      </c>
      <c r="U13" s="31">
        <f t="shared" si="13"/>
        <v>1000.5185589519651</v>
      </c>
      <c r="V13" s="31">
        <f t="shared" si="14"/>
        <v>236.29122452876513</v>
      </c>
      <c r="W13" s="31">
        <f t="shared" si="24"/>
        <v>-764.22733442319998</v>
      </c>
      <c r="X13" s="31">
        <f t="shared" si="15"/>
        <v>79.061847148425471</v>
      </c>
      <c r="Y13" s="31">
        <f t="shared" si="16"/>
        <v>63.366823283977013</v>
      </c>
      <c r="Z13" s="31">
        <f t="shared" si="17"/>
        <v>-15.695023864448459</v>
      </c>
      <c r="AA13" s="33">
        <v>0.38900000000000001</v>
      </c>
      <c r="AB13" s="28">
        <v>4.1479999999999997</v>
      </c>
      <c r="AC13" s="30">
        <v>9.5503912159999995</v>
      </c>
      <c r="AD13" s="31">
        <f t="shared" si="2"/>
        <v>5.4023912159999998</v>
      </c>
      <c r="AE13" s="31">
        <f t="shared" si="18"/>
        <v>1066.3239074550127</v>
      </c>
      <c r="AF13" s="31">
        <f t="shared" si="19"/>
        <v>230.24086827386694</v>
      </c>
      <c r="AG13" s="31">
        <f t="shared" si="20"/>
        <v>21.592019710350591</v>
      </c>
      <c r="AH13" s="32">
        <f t="shared" si="21"/>
        <v>0.88928260106156498</v>
      </c>
      <c r="AI13" s="32">
        <f t="shared" si="22"/>
        <v>1.3330537523052848</v>
      </c>
      <c r="AJ13" s="32">
        <f t="shared" si="23"/>
        <v>0.4437711512437198</v>
      </c>
      <c r="AK13" s="32">
        <f t="shared" si="3"/>
        <v>3661.752</v>
      </c>
      <c r="AL13" s="32">
        <f t="shared" si="4"/>
        <v>8652.6496087840005</v>
      </c>
      <c r="AM13" s="35"/>
      <c r="AN13" s="35"/>
      <c r="AO13" s="35"/>
    </row>
    <row r="14" spans="1:41" s="38" customFormat="1" ht="30" customHeight="1" x14ac:dyDescent="0.25">
      <c r="A14" s="41" t="s">
        <v>7</v>
      </c>
      <c r="B14" s="28">
        <v>8221.9893204999971</v>
      </c>
      <c r="C14" s="28">
        <v>12512.530812795932</v>
      </c>
      <c r="D14" s="29">
        <v>0</v>
      </c>
      <c r="E14" s="28">
        <v>1800.24145</v>
      </c>
      <c r="F14" s="30">
        <v>5176.1270946971636</v>
      </c>
      <c r="G14" s="31">
        <f t="shared" si="0"/>
        <v>3375.8856446971636</v>
      </c>
      <c r="H14" s="40" t="e">
        <f>E14/D14*100</f>
        <v>#DIV/0!</v>
      </c>
      <c r="I14" s="31">
        <f>F14/E14*100</f>
        <v>287.52404821570815</v>
      </c>
      <c r="J14" s="31" t="e">
        <f>I14-H14</f>
        <v>#DIV/0!</v>
      </c>
      <c r="K14" s="32">
        <f t="shared" si="7"/>
        <v>0.28093613287874203</v>
      </c>
      <c r="L14" s="32">
        <f t="shared" si="8"/>
        <v>0.56170653449886532</v>
      </c>
      <c r="M14" s="32">
        <f t="shared" si="9"/>
        <v>0.28077040162012329</v>
      </c>
      <c r="N14" s="32">
        <f t="shared" si="10"/>
        <v>21.895448653909504</v>
      </c>
      <c r="O14" s="32">
        <f t="shared" si="11"/>
        <v>41.367547238355648</v>
      </c>
      <c r="P14" s="32">
        <f t="shared" si="12"/>
        <v>19.472098584446144</v>
      </c>
      <c r="Q14" s="33">
        <v>0</v>
      </c>
      <c r="R14" s="30">
        <v>1422.9</v>
      </c>
      <c r="S14" s="30">
        <v>901.1</v>
      </c>
      <c r="T14" s="31">
        <f t="shared" si="1"/>
        <v>-521.80000000000007</v>
      </c>
      <c r="U14" s="31" t="e">
        <f t="shared" si="13"/>
        <v>#DIV/0!</v>
      </c>
      <c r="V14" s="31">
        <f t="shared" si="14"/>
        <v>63.328413802797101</v>
      </c>
      <c r="W14" s="31" t="e">
        <f>V14-U14</f>
        <v>#DIV/0!</v>
      </c>
      <c r="X14" s="31">
        <f t="shared" si="15"/>
        <v>79.039397743008308</v>
      </c>
      <c r="Y14" s="31">
        <f t="shared" si="16"/>
        <v>17.408768824922376</v>
      </c>
      <c r="Z14" s="31">
        <f t="shared" si="17"/>
        <v>-61.630628918085932</v>
      </c>
      <c r="AA14" s="33">
        <v>0.51</v>
      </c>
      <c r="AB14" s="28">
        <v>2.4640999999999997</v>
      </c>
      <c r="AC14" s="30">
        <v>2.4738601899999999</v>
      </c>
      <c r="AD14" s="31">
        <f t="shared" si="2"/>
        <v>9.7601900000001685E-3</v>
      </c>
      <c r="AE14" s="31">
        <f t="shared" si="18"/>
        <v>483.15686274509801</v>
      </c>
      <c r="AF14" s="31">
        <f t="shared" si="19"/>
        <v>100.39609553183719</v>
      </c>
      <c r="AG14" s="31">
        <f t="shared" si="20"/>
        <v>20.779192695603658</v>
      </c>
      <c r="AH14" s="32">
        <f t="shared" si="21"/>
        <v>0.52827417002791766</v>
      </c>
      <c r="AI14" s="32">
        <f t="shared" si="22"/>
        <v>0.34530403355972478</v>
      </c>
      <c r="AJ14" s="32">
        <f t="shared" si="23"/>
        <v>-0.18297013646819288</v>
      </c>
      <c r="AK14" s="32">
        <f t="shared" si="3"/>
        <v>1420.4359000000002</v>
      </c>
      <c r="AL14" s="32">
        <f t="shared" si="4"/>
        <v>898.62613981000004</v>
      </c>
      <c r="AM14" s="35"/>
      <c r="AN14" s="35"/>
      <c r="AO14" s="35"/>
    </row>
    <row r="15" spans="1:41" s="38" customFormat="1" ht="30" customHeight="1" x14ac:dyDescent="0.25">
      <c r="A15" s="41" t="s">
        <v>8</v>
      </c>
      <c r="B15" s="28">
        <v>9793.9622900000068</v>
      </c>
      <c r="C15" s="28">
        <v>9061.154280200426</v>
      </c>
      <c r="D15" s="29">
        <v>1047</v>
      </c>
      <c r="E15" s="28">
        <v>3571.7213800000004</v>
      </c>
      <c r="F15" s="30">
        <v>6777.3148461004239</v>
      </c>
      <c r="G15" s="31">
        <f t="shared" si="0"/>
        <v>3205.5934661004235</v>
      </c>
      <c r="H15" s="40">
        <f t="shared" si="5"/>
        <v>341.13862273161419</v>
      </c>
      <c r="I15" s="31">
        <f t="shared" si="6"/>
        <v>189.74925883217753</v>
      </c>
      <c r="J15" s="31">
        <f>I15-H15</f>
        <v>-151.38936389943666</v>
      </c>
      <c r="K15" s="32">
        <f t="shared" si="7"/>
        <v>0.55738389548664369</v>
      </c>
      <c r="L15" s="32">
        <f t="shared" si="8"/>
        <v>0.73546533262501079</v>
      </c>
      <c r="M15" s="32">
        <f t="shared" si="9"/>
        <v>0.1780814371383671</v>
      </c>
      <c r="N15" s="32">
        <f t="shared" si="10"/>
        <v>36.468604577402331</v>
      </c>
      <c r="O15" s="32">
        <f t="shared" si="11"/>
        <v>74.795270409527944</v>
      </c>
      <c r="P15" s="32">
        <f t="shared" si="12"/>
        <v>38.326665832125613</v>
      </c>
      <c r="Q15" s="33">
        <v>1040</v>
      </c>
      <c r="R15" s="30">
        <v>3577.4</v>
      </c>
      <c r="S15" s="30">
        <v>3791.1</v>
      </c>
      <c r="T15" s="31">
        <f t="shared" si="1"/>
        <v>213.69999999999982</v>
      </c>
      <c r="U15" s="31">
        <f t="shared" si="13"/>
        <v>343.98076923076928</v>
      </c>
      <c r="V15" s="31">
        <f t="shared" si="14"/>
        <v>105.97361212053447</v>
      </c>
      <c r="W15" s="31">
        <f t="shared" si="24"/>
        <v>-238.0071571102348</v>
      </c>
      <c r="X15" s="31">
        <f t="shared" si="15"/>
        <v>100.15898832511958</v>
      </c>
      <c r="Y15" s="31">
        <f t="shared" si="16"/>
        <v>55.938082944181765</v>
      </c>
      <c r="Z15" s="31">
        <f t="shared" si="17"/>
        <v>-44.220905380937815</v>
      </c>
      <c r="AA15" s="33">
        <v>1.0494000000000001</v>
      </c>
      <c r="AB15" s="28">
        <v>3.5473000000000003</v>
      </c>
      <c r="AC15" s="30">
        <v>3.8240542070000001</v>
      </c>
      <c r="AD15" s="31">
        <f t="shared" si="2"/>
        <v>0.27675420699999975</v>
      </c>
      <c r="AE15" s="31">
        <f t="shared" si="18"/>
        <v>338.03125595578427</v>
      </c>
      <c r="AF15" s="31">
        <f t="shared" si="19"/>
        <v>107.80182693879851</v>
      </c>
      <c r="AG15" s="31">
        <f t="shared" si="20"/>
        <v>31.891082566903041</v>
      </c>
      <c r="AH15" s="32">
        <f t="shared" si="21"/>
        <v>0.76049955900330035</v>
      </c>
      <c r="AI15" s="32">
        <f t="shared" si="22"/>
        <v>0.53376554890441685</v>
      </c>
      <c r="AJ15" s="32">
        <f t="shared" si="23"/>
        <v>-0.2267340100988835</v>
      </c>
      <c r="AK15" s="32">
        <f t="shared" si="3"/>
        <v>3573.8526999999999</v>
      </c>
      <c r="AL15" s="32">
        <f t="shared" si="4"/>
        <v>3787.2759457930001</v>
      </c>
      <c r="AM15" s="35"/>
      <c r="AN15" s="35"/>
      <c r="AO15" s="35"/>
    </row>
    <row r="16" spans="1:41" s="38" customFormat="1" ht="30" customHeight="1" x14ac:dyDescent="0.25">
      <c r="A16" s="41" t="s">
        <v>9</v>
      </c>
      <c r="B16" s="28">
        <v>26138.858501999919</v>
      </c>
      <c r="C16" s="28">
        <v>11497.308247107127</v>
      </c>
      <c r="D16" s="29">
        <v>616.61999999999989</v>
      </c>
      <c r="E16" s="28">
        <v>2345.9699999999998</v>
      </c>
      <c r="F16" s="30">
        <v>5498.1771882737939</v>
      </c>
      <c r="G16" s="31">
        <f t="shared" si="0"/>
        <v>3152.2071882737941</v>
      </c>
      <c r="H16" s="40">
        <f t="shared" si="5"/>
        <v>380.45635885958944</v>
      </c>
      <c r="I16" s="31">
        <f t="shared" si="6"/>
        <v>234.36690103768564</v>
      </c>
      <c r="J16" s="31">
        <f t="shared" ref="J16:J23" si="25">I16-H16</f>
        <v>-146.08945782190381</v>
      </c>
      <c r="K16" s="32">
        <f t="shared" si="7"/>
        <v>0.36609963605134321</v>
      </c>
      <c r="L16" s="32">
        <f t="shared" si="8"/>
        <v>0.59665498894916091</v>
      </c>
      <c r="M16" s="32">
        <f t="shared" si="9"/>
        <v>0.2305553528978177</v>
      </c>
      <c r="N16" s="32">
        <f t="shared" si="10"/>
        <v>8.9750284995058465</v>
      </c>
      <c r="O16" s="32">
        <f t="shared" si="11"/>
        <v>47.821429765155749</v>
      </c>
      <c r="P16" s="32">
        <f t="shared" si="12"/>
        <v>38.846401265649902</v>
      </c>
      <c r="Q16" s="33">
        <v>331.5</v>
      </c>
      <c r="R16" s="30">
        <v>2048.9</v>
      </c>
      <c r="S16" s="30">
        <v>2002.5</v>
      </c>
      <c r="T16" s="31">
        <f t="shared" si="1"/>
        <v>-46.400000000000091</v>
      </c>
      <c r="U16" s="31">
        <f t="shared" si="13"/>
        <v>618.06938159879337</v>
      </c>
      <c r="V16" s="31">
        <f t="shared" si="14"/>
        <v>97.735370198643167</v>
      </c>
      <c r="W16" s="31">
        <f t="shared" si="24"/>
        <v>-520.33401140015019</v>
      </c>
      <c r="X16" s="31">
        <f t="shared" si="15"/>
        <v>87.337007719621312</v>
      </c>
      <c r="Y16" s="31">
        <f t="shared" si="16"/>
        <v>36.421161621906627</v>
      </c>
      <c r="Z16" s="31">
        <f t="shared" si="17"/>
        <v>-50.915846097714685</v>
      </c>
      <c r="AA16" s="33">
        <v>2.4097</v>
      </c>
      <c r="AB16" s="28">
        <v>2.3188</v>
      </c>
      <c r="AC16" s="30">
        <v>2.1908043400000001</v>
      </c>
      <c r="AD16" s="31">
        <f t="shared" si="2"/>
        <v>-0.12799565999999984</v>
      </c>
      <c r="AE16" s="31">
        <f t="shared" si="18"/>
        <v>96.227746192472097</v>
      </c>
      <c r="AF16" s="31">
        <f t="shared" si="19"/>
        <v>94.480090564084875</v>
      </c>
      <c r="AG16" s="31">
        <f t="shared" si="20"/>
        <v>98.183833979763378</v>
      </c>
      <c r="AH16" s="32">
        <f t="shared" si="21"/>
        <v>0.49712355239671091</v>
      </c>
      <c r="AI16" s="32">
        <f t="shared" si="22"/>
        <v>0.3057947972969931</v>
      </c>
      <c r="AJ16" s="32">
        <f t="shared" si="23"/>
        <v>-0.19132875509971781</v>
      </c>
      <c r="AK16" s="32">
        <f t="shared" si="3"/>
        <v>2046.5812000000001</v>
      </c>
      <c r="AL16" s="32">
        <f t="shared" si="4"/>
        <v>2000.3091956599999</v>
      </c>
      <c r="AM16" s="35"/>
      <c r="AN16" s="35"/>
      <c r="AO16" s="35"/>
    </row>
    <row r="17" spans="1:41" s="38" customFormat="1" ht="30" customHeight="1" x14ac:dyDescent="0.25">
      <c r="A17" s="41" t="s">
        <v>10</v>
      </c>
      <c r="B17" s="28">
        <v>88940.007373099928</v>
      </c>
      <c r="C17" s="28">
        <v>82556.307628038674</v>
      </c>
      <c r="D17" s="29">
        <v>5776.1500000000005</v>
      </c>
      <c r="E17" s="28">
        <v>18438.870029999998</v>
      </c>
      <c r="F17" s="30">
        <v>25540.020915906858</v>
      </c>
      <c r="G17" s="31">
        <f t="shared" si="0"/>
        <v>7101.1508859068599</v>
      </c>
      <c r="H17" s="40">
        <f t="shared" si="5"/>
        <v>319.22422426702906</v>
      </c>
      <c r="I17" s="31">
        <f t="shared" si="6"/>
        <v>138.51185498001396</v>
      </c>
      <c r="J17" s="33">
        <f t="shared" si="25"/>
        <v>-180.71236928701509</v>
      </c>
      <c r="K17" s="32">
        <f t="shared" si="7"/>
        <v>2.8774722640021055</v>
      </c>
      <c r="L17" s="32">
        <f t="shared" si="8"/>
        <v>2.7715696267195136</v>
      </c>
      <c r="M17" s="32">
        <f t="shared" si="9"/>
        <v>-0.10590263728259197</v>
      </c>
      <c r="N17" s="32">
        <f t="shared" si="10"/>
        <v>20.731806275492698</v>
      </c>
      <c r="O17" s="32">
        <f t="shared" si="11"/>
        <v>30.93648644144627</v>
      </c>
      <c r="P17" s="32">
        <f t="shared" si="12"/>
        <v>10.204680165953572</v>
      </c>
      <c r="Q17" s="33">
        <v>4056.8</v>
      </c>
      <c r="R17" s="30">
        <v>10239</v>
      </c>
      <c r="S17" s="30">
        <v>21398.5</v>
      </c>
      <c r="T17" s="31">
        <f t="shared" si="1"/>
        <v>11159.5</v>
      </c>
      <c r="U17" s="31">
        <f t="shared" si="13"/>
        <v>252.39104713074343</v>
      </c>
      <c r="V17" s="31">
        <f t="shared" si="14"/>
        <v>208.99013575544484</v>
      </c>
      <c r="W17" s="31">
        <f t="shared" si="24"/>
        <v>-43.400911375298591</v>
      </c>
      <c r="X17" s="31">
        <f t="shared" si="15"/>
        <v>55.52943311244762</v>
      </c>
      <c r="Y17" s="31">
        <f t="shared" si="16"/>
        <v>83.784191369524549</v>
      </c>
      <c r="Z17" s="31">
        <f t="shared" si="17"/>
        <v>28.254758257076929</v>
      </c>
      <c r="AA17" s="33">
        <v>3.9691999999999998</v>
      </c>
      <c r="AB17" s="28">
        <v>10.520899999999999</v>
      </c>
      <c r="AC17" s="30">
        <v>19.852510683000002</v>
      </c>
      <c r="AD17" s="31">
        <f t="shared" si="2"/>
        <v>9.3316106830000027</v>
      </c>
      <c r="AE17" s="31">
        <f t="shared" si="18"/>
        <v>265.06348886425479</v>
      </c>
      <c r="AF17" s="31">
        <f t="shared" si="19"/>
        <v>188.69593554733913</v>
      </c>
      <c r="AG17" s="31">
        <f t="shared" si="20"/>
        <v>71.188957919426883</v>
      </c>
      <c r="AH17" s="32">
        <f t="shared" si="21"/>
        <v>2.2555576946742089</v>
      </c>
      <c r="AI17" s="32">
        <f t="shared" si="22"/>
        <v>2.7710345325244217</v>
      </c>
      <c r="AJ17" s="32">
        <f t="shared" si="23"/>
        <v>0.51547683785021281</v>
      </c>
      <c r="AK17" s="32">
        <f t="shared" si="3"/>
        <v>10228.4791</v>
      </c>
      <c r="AL17" s="32">
        <f t="shared" si="4"/>
        <v>21378.647489317002</v>
      </c>
      <c r="AM17" s="35"/>
      <c r="AN17" s="35"/>
      <c r="AO17" s="35"/>
    </row>
    <row r="18" spans="1:41" s="38" customFormat="1" ht="30" customHeight="1" x14ac:dyDescent="0.25">
      <c r="A18" s="41" t="s">
        <v>11</v>
      </c>
      <c r="B18" s="28">
        <v>10260.859914000011</v>
      </c>
      <c r="C18" s="28">
        <v>12521.196206805907</v>
      </c>
      <c r="D18" s="29">
        <v>1261.72</v>
      </c>
      <c r="E18" s="28">
        <v>2783.0660000000003</v>
      </c>
      <c r="F18" s="30">
        <v>4688.5486312059129</v>
      </c>
      <c r="G18" s="31">
        <f t="shared" si="0"/>
        <v>1905.4826312059126</v>
      </c>
      <c r="H18" s="40">
        <f t="shared" si="5"/>
        <v>220.57714865421806</v>
      </c>
      <c r="I18" s="31">
        <f t="shared" si="6"/>
        <v>168.46702993051235</v>
      </c>
      <c r="J18" s="31">
        <f t="shared" si="25"/>
        <v>-52.11011872370571</v>
      </c>
      <c r="K18" s="32">
        <f t="shared" si="7"/>
        <v>0.43431051961741524</v>
      </c>
      <c r="L18" s="32">
        <f t="shared" si="8"/>
        <v>0.50879515809457798</v>
      </c>
      <c r="M18" s="32">
        <f t="shared" si="9"/>
        <v>7.4484638477162746E-2</v>
      </c>
      <c r="N18" s="32">
        <f t="shared" si="10"/>
        <v>27.12312635905651</v>
      </c>
      <c r="O18" s="32">
        <f t="shared" si="11"/>
        <v>37.444893872499563</v>
      </c>
      <c r="P18" s="32">
        <f t="shared" si="12"/>
        <v>10.321767513443053</v>
      </c>
      <c r="Q18" s="33">
        <v>1249.5999999999999</v>
      </c>
      <c r="R18" s="30">
        <v>2248.6999999999998</v>
      </c>
      <c r="S18" s="30">
        <v>2932.3</v>
      </c>
      <c r="T18" s="31">
        <f t="shared" si="1"/>
        <v>683.60000000000036</v>
      </c>
      <c r="U18" s="31">
        <f t="shared" si="13"/>
        <v>179.95358514724711</v>
      </c>
      <c r="V18" s="31">
        <f t="shared" si="14"/>
        <v>130.39978654333618</v>
      </c>
      <c r="W18" s="31">
        <f t="shared" si="24"/>
        <v>-49.553798603910934</v>
      </c>
      <c r="X18" s="31">
        <f t="shared" si="15"/>
        <v>80.799377377324134</v>
      </c>
      <c r="Y18" s="31">
        <f t="shared" si="16"/>
        <v>62.541742245847217</v>
      </c>
      <c r="Z18" s="31">
        <f t="shared" si="17"/>
        <v>-18.257635131476917</v>
      </c>
      <c r="AA18" s="33">
        <v>1.2499</v>
      </c>
      <c r="AB18" s="28">
        <v>3.1446000000000001</v>
      </c>
      <c r="AC18" s="30">
        <v>3.3341204429999998</v>
      </c>
      <c r="AD18" s="31">
        <f t="shared" si="2"/>
        <v>0.18952044299999971</v>
      </c>
      <c r="AE18" s="31">
        <f t="shared" si="18"/>
        <v>251.58812705016399</v>
      </c>
      <c r="AF18" s="31">
        <f t="shared" si="19"/>
        <v>106.02685374928448</v>
      </c>
      <c r="AG18" s="31">
        <f t="shared" si="20"/>
        <v>42.143027571465588</v>
      </c>
      <c r="AH18" s="32">
        <f t="shared" si="21"/>
        <v>0.674165397130713</v>
      </c>
      <c r="AI18" s="32">
        <f t="shared" si="22"/>
        <v>0.46538007361759454</v>
      </c>
      <c r="AJ18" s="32">
        <f t="shared" si="23"/>
        <v>-0.20878532351311846</v>
      </c>
      <c r="AK18" s="32">
        <f t="shared" si="3"/>
        <v>2245.5553999999997</v>
      </c>
      <c r="AL18" s="32">
        <f t="shared" si="4"/>
        <v>2928.9658795570003</v>
      </c>
      <c r="AM18" s="35"/>
      <c r="AN18" s="35"/>
      <c r="AO18" s="35"/>
    </row>
    <row r="19" spans="1:41" s="38" customFormat="1" ht="30" customHeight="1" x14ac:dyDescent="0.25">
      <c r="A19" s="41" t="s">
        <v>12</v>
      </c>
      <c r="B19" s="28">
        <v>8770.4213098660457</v>
      </c>
      <c r="C19" s="28">
        <v>5031.9926129765863</v>
      </c>
      <c r="D19" s="29">
        <v>353.21000000000004</v>
      </c>
      <c r="E19" s="28">
        <v>1964.3529999999998</v>
      </c>
      <c r="F19" s="30">
        <v>2271.3615913006329</v>
      </c>
      <c r="G19" s="31">
        <f t="shared" si="0"/>
        <v>307.00859130063304</v>
      </c>
      <c r="H19" s="40">
        <f t="shared" si="5"/>
        <v>556.1430876815491</v>
      </c>
      <c r="I19" s="31">
        <f t="shared" si="6"/>
        <v>115.62899292034747</v>
      </c>
      <c r="J19" s="31">
        <f t="shared" si="25"/>
        <v>-440.51409476120165</v>
      </c>
      <c r="K19" s="32">
        <f t="shared" si="7"/>
        <v>0.30654651098537672</v>
      </c>
      <c r="L19" s="32">
        <f t="shared" si="8"/>
        <v>0.24648518568069497</v>
      </c>
      <c r="M19" s="32">
        <f t="shared" si="9"/>
        <v>-6.0061325304681751E-2</v>
      </c>
      <c r="N19" s="32">
        <f t="shared" si="10"/>
        <v>22.397475909056439</v>
      </c>
      <c r="O19" s="32">
        <f t="shared" si="11"/>
        <v>45.138412672610208</v>
      </c>
      <c r="P19" s="32">
        <f t="shared" si="12"/>
        <v>22.740936763553769</v>
      </c>
      <c r="Q19" s="33">
        <v>61</v>
      </c>
      <c r="R19" s="30">
        <v>1924.2</v>
      </c>
      <c r="S19" s="30">
        <v>1834.7</v>
      </c>
      <c r="T19" s="31">
        <f t="shared" si="1"/>
        <v>-89.5</v>
      </c>
      <c r="U19" s="31">
        <f t="shared" si="13"/>
        <v>3154.4262295081967</v>
      </c>
      <c r="V19" s="31">
        <f t="shared" si="14"/>
        <v>95.348716349651809</v>
      </c>
      <c r="W19" s="31">
        <f>V19-U19</f>
        <v>-3059.0775131585447</v>
      </c>
      <c r="X19" s="31">
        <f t="shared" si="15"/>
        <v>97.955917291851321</v>
      </c>
      <c r="Y19" s="31">
        <f t="shared" si="16"/>
        <v>80.775337886620221</v>
      </c>
      <c r="Z19" s="31">
        <f t="shared" si="17"/>
        <v>-17.1805794052311</v>
      </c>
      <c r="AA19" s="33">
        <v>0.21890000000000001</v>
      </c>
      <c r="AB19" s="28">
        <v>1.8320999999999998</v>
      </c>
      <c r="AC19" s="30">
        <v>2.2682576020000003</v>
      </c>
      <c r="AD19" s="31">
        <f t="shared" si="2"/>
        <v>0.43615760200000042</v>
      </c>
      <c r="AE19" s="31">
        <f t="shared" si="18"/>
        <v>836.957514846962</v>
      </c>
      <c r="AF19" s="31">
        <f t="shared" si="19"/>
        <v>123.80642988919821</v>
      </c>
      <c r="AG19" s="31">
        <f t="shared" si="20"/>
        <v>14.792439005919706</v>
      </c>
      <c r="AH19" s="32">
        <f t="shared" si="21"/>
        <v>0.39278077468777561</v>
      </c>
      <c r="AI19" s="32">
        <f t="shared" si="22"/>
        <v>0.31660580589362608</v>
      </c>
      <c r="AJ19" s="32">
        <f t="shared" si="23"/>
        <v>-7.6174968794149533E-2</v>
      </c>
      <c r="AK19" s="32">
        <f t="shared" si="3"/>
        <v>1922.3679</v>
      </c>
      <c r="AL19" s="32">
        <f t="shared" si="4"/>
        <v>1832.4317423980001</v>
      </c>
      <c r="AM19" s="35"/>
      <c r="AN19" s="35"/>
      <c r="AO19" s="35"/>
    </row>
    <row r="20" spans="1:41" s="38" customFormat="1" ht="30" customHeight="1" x14ac:dyDescent="0.25">
      <c r="A20" s="41" t="s">
        <v>13</v>
      </c>
      <c r="B20" s="28">
        <v>22082.369440699993</v>
      </c>
      <c r="C20" s="28">
        <v>28814.986743212994</v>
      </c>
      <c r="D20" s="29">
        <v>2835</v>
      </c>
      <c r="E20" s="28">
        <v>8330.8875863999983</v>
      </c>
      <c r="F20" s="30">
        <v>17458.032990300821</v>
      </c>
      <c r="G20" s="31">
        <f t="shared" si="0"/>
        <v>9127.1454039008222</v>
      </c>
      <c r="H20" s="40">
        <f t="shared" si="5"/>
        <v>293.8584686560846</v>
      </c>
      <c r="I20" s="31">
        <f t="shared" si="6"/>
        <v>209.55789895425667</v>
      </c>
      <c r="J20" s="31">
        <f t="shared" si="25"/>
        <v>-84.300569701827925</v>
      </c>
      <c r="K20" s="32">
        <f t="shared" si="7"/>
        <v>1.3000741328174243</v>
      </c>
      <c r="L20" s="32">
        <f t="shared" si="8"/>
        <v>1.8945228798951017</v>
      </c>
      <c r="M20" s="32">
        <f t="shared" si="9"/>
        <v>0.59444874707767736</v>
      </c>
      <c r="N20" s="32">
        <f t="shared" si="10"/>
        <v>37.72642065776396</v>
      </c>
      <c r="O20" s="32">
        <f t="shared" si="11"/>
        <v>60.586642450608927</v>
      </c>
      <c r="P20" s="32">
        <f t="shared" si="12"/>
        <v>22.860221792844968</v>
      </c>
      <c r="Q20" s="33">
        <v>3047.4</v>
      </c>
      <c r="R20" s="30">
        <v>9587.1</v>
      </c>
      <c r="S20" s="30">
        <v>30767.599999999999</v>
      </c>
      <c r="T20" s="31">
        <f t="shared" si="1"/>
        <v>21180.5</v>
      </c>
      <c r="U20" s="31">
        <f t="shared" si="13"/>
        <v>314.59933057688522</v>
      </c>
      <c r="V20" s="31">
        <f t="shared" si="14"/>
        <v>320.92707909586841</v>
      </c>
      <c r="W20" s="31">
        <f t="shared" si="24"/>
        <v>6.327748518983185</v>
      </c>
      <c r="X20" s="31">
        <f t="shared" si="15"/>
        <v>115.07897448587283</v>
      </c>
      <c r="Y20" s="31">
        <f t="shared" si="16"/>
        <v>176.23749489472033</v>
      </c>
      <c r="Z20" s="31">
        <f t="shared" si="17"/>
        <v>61.158520408847494</v>
      </c>
      <c r="AA20" s="33">
        <v>5.0346000000000002</v>
      </c>
      <c r="AB20" s="28">
        <v>10.0905</v>
      </c>
      <c r="AC20" s="30">
        <v>34.549200817000006</v>
      </c>
      <c r="AD20" s="31">
        <f t="shared" si="2"/>
        <v>24.458700817000008</v>
      </c>
      <c r="AE20" s="31">
        <f t="shared" si="18"/>
        <v>200.42307233941128</v>
      </c>
      <c r="AF20" s="31">
        <f t="shared" si="19"/>
        <v>342.39334836727619</v>
      </c>
      <c r="AG20" s="31">
        <f t="shared" si="20"/>
        <v>170.83529574251907</v>
      </c>
      <c r="AH20" s="32">
        <f t="shared" si="21"/>
        <v>2.1632849773413025</v>
      </c>
      <c r="AI20" s="32">
        <f t="shared" si="22"/>
        <v>4.8224141552538748</v>
      </c>
      <c r="AJ20" s="32">
        <f t="shared" si="23"/>
        <v>2.6591291779125723</v>
      </c>
      <c r="AK20" s="32">
        <f t="shared" si="3"/>
        <v>9577.0095000000001</v>
      </c>
      <c r="AL20" s="32">
        <f t="shared" si="4"/>
        <v>30733.050799182998</v>
      </c>
      <c r="AM20" s="35"/>
      <c r="AN20" s="35"/>
      <c r="AO20" s="35"/>
    </row>
    <row r="21" spans="1:41" s="38" customFormat="1" ht="30" customHeight="1" x14ac:dyDescent="0.25">
      <c r="A21" s="41" t="s">
        <v>14</v>
      </c>
      <c r="B21" s="28">
        <v>22597.394843300004</v>
      </c>
      <c r="C21" s="28">
        <v>17610.240191611836</v>
      </c>
      <c r="D21" s="29">
        <v>1349.8700000000001</v>
      </c>
      <c r="E21" s="28">
        <v>4811.9560000000001</v>
      </c>
      <c r="F21" s="30">
        <v>4311.2293265458384</v>
      </c>
      <c r="G21" s="31">
        <f t="shared" si="0"/>
        <v>-500.72667345416176</v>
      </c>
      <c r="H21" s="40">
        <f t="shared" si="5"/>
        <v>356.4755124567551</v>
      </c>
      <c r="I21" s="31">
        <f t="shared" si="6"/>
        <v>89.594113631667412</v>
      </c>
      <c r="J21" s="31">
        <f t="shared" si="25"/>
        <v>-266.88139882508767</v>
      </c>
      <c r="K21" s="32">
        <f t="shared" si="7"/>
        <v>0.75092833254264868</v>
      </c>
      <c r="L21" s="32">
        <f t="shared" si="8"/>
        <v>0.46784896122911407</v>
      </c>
      <c r="M21" s="32">
        <f t="shared" si="9"/>
        <v>-0.28307937131353461</v>
      </c>
      <c r="N21" s="32">
        <f t="shared" si="10"/>
        <v>21.294295352929662</v>
      </c>
      <c r="O21" s="32">
        <f t="shared" si="11"/>
        <v>24.481377196657299</v>
      </c>
      <c r="P21" s="32">
        <f t="shared" si="12"/>
        <v>3.1870818437276363</v>
      </c>
      <c r="Q21" s="33">
        <v>914</v>
      </c>
      <c r="R21" s="30">
        <v>5411.5</v>
      </c>
      <c r="S21" s="30">
        <v>22137.8</v>
      </c>
      <c r="T21" s="31">
        <f t="shared" si="1"/>
        <v>16726.3</v>
      </c>
      <c r="U21" s="31">
        <f t="shared" si="13"/>
        <v>592.06783369803065</v>
      </c>
      <c r="V21" s="31">
        <f t="shared" si="14"/>
        <v>409.08805321999449</v>
      </c>
      <c r="W21" s="31">
        <f t="shared" si="24"/>
        <v>-182.97978047803616</v>
      </c>
      <c r="X21" s="31">
        <f>R21/E21*100</f>
        <v>112.45946554789779</v>
      </c>
      <c r="Y21" s="31">
        <f>S21/F21*100</f>
        <v>513.49158959578767</v>
      </c>
      <c r="Z21" s="31">
        <f t="shared" si="17"/>
        <v>401.03212404788985</v>
      </c>
      <c r="AA21" s="33">
        <v>3.2856000000000001</v>
      </c>
      <c r="AB21" s="28">
        <v>6.0439999999999996</v>
      </c>
      <c r="AC21" s="30">
        <v>22.769730490000001</v>
      </c>
      <c r="AD21" s="31">
        <f t="shared" si="2"/>
        <v>16.72573049</v>
      </c>
      <c r="AE21" s="31">
        <f t="shared" si="18"/>
        <v>183.95422449476501</v>
      </c>
      <c r="AF21" s="31">
        <f t="shared" si="19"/>
        <v>376.7328009596294</v>
      </c>
      <c r="AG21" s="31">
        <f t="shared" si="20"/>
        <v>204.79703686845772</v>
      </c>
      <c r="AH21" s="32">
        <f t="shared" si="21"/>
        <v>1.295762787081991</v>
      </c>
      <c r="AI21" s="32">
        <f t="shared" si="22"/>
        <v>3.1782231724521379</v>
      </c>
      <c r="AJ21" s="32">
        <f t="shared" si="23"/>
        <v>1.8824603853701469</v>
      </c>
      <c r="AK21" s="32">
        <f t="shared" si="3"/>
        <v>5405.4560000000001</v>
      </c>
      <c r="AL21" s="32">
        <f t="shared" si="4"/>
        <v>22115.03026951</v>
      </c>
      <c r="AM21" s="35"/>
      <c r="AN21" s="35"/>
      <c r="AO21" s="35"/>
    </row>
    <row r="22" spans="1:41" s="38" customFormat="1" ht="30" customHeight="1" x14ac:dyDescent="0.25">
      <c r="A22" s="41" t="s">
        <v>15</v>
      </c>
      <c r="B22" s="28">
        <v>58254.855423797992</v>
      </c>
      <c r="C22" s="28">
        <v>54862.897504945729</v>
      </c>
      <c r="D22" s="29">
        <v>2120.3609999999999</v>
      </c>
      <c r="E22" s="28">
        <v>9231.1520000000019</v>
      </c>
      <c r="F22" s="30">
        <v>23535.784999445714</v>
      </c>
      <c r="G22" s="31">
        <f t="shared" si="0"/>
        <v>14304.632999445712</v>
      </c>
      <c r="H22" s="40">
        <f t="shared" si="5"/>
        <v>435.35756411290356</v>
      </c>
      <c r="I22" s="31">
        <f t="shared" si="6"/>
        <v>254.96043180142314</v>
      </c>
      <c r="J22" s="33">
        <f t="shared" si="25"/>
        <v>-180.39713231148042</v>
      </c>
      <c r="K22" s="32">
        <f t="shared" si="7"/>
        <v>1.4405646225376412</v>
      </c>
      <c r="L22" s="32">
        <f t="shared" si="8"/>
        <v>2.5540725694878823</v>
      </c>
      <c r="M22" s="33">
        <f t="shared" si="9"/>
        <v>1.1135079469502411</v>
      </c>
      <c r="N22" s="32">
        <f t="shared" si="10"/>
        <v>15.846150390116556</v>
      </c>
      <c r="O22" s="32">
        <f>F22/C22*100</f>
        <v>42.899274500265008</v>
      </c>
      <c r="P22" s="32">
        <f t="shared" si="12"/>
        <v>27.053124110148453</v>
      </c>
      <c r="Q22" s="33">
        <v>1909.8</v>
      </c>
      <c r="R22" s="30">
        <v>4529.6000000000004</v>
      </c>
      <c r="S22" s="30">
        <v>3758.5</v>
      </c>
      <c r="T22" s="31">
        <f t="shared" si="1"/>
        <v>-771.10000000000036</v>
      </c>
      <c r="U22" s="31">
        <f t="shared" si="13"/>
        <v>237.17666771389676</v>
      </c>
      <c r="V22" s="31">
        <f t="shared" si="14"/>
        <v>82.976421759095714</v>
      </c>
      <c r="W22" s="31">
        <f t="shared" si="24"/>
        <v>-154.20024595480106</v>
      </c>
      <c r="X22" s="31">
        <f t="shared" si="15"/>
        <v>49.06863195406163</v>
      </c>
      <c r="Y22" s="31">
        <f t="shared" si="16"/>
        <v>15.969299515986043</v>
      </c>
      <c r="Z22" s="31">
        <f t="shared" si="17"/>
        <v>-33.099332438075585</v>
      </c>
      <c r="AA22" s="33">
        <v>1.9707999999999999</v>
      </c>
      <c r="AB22" s="28">
        <v>4.7443999999999997</v>
      </c>
      <c r="AC22" s="30">
        <v>4.6600886300000006</v>
      </c>
      <c r="AD22" s="31">
        <f t="shared" si="2"/>
        <v>-8.4311369999999108E-2</v>
      </c>
      <c r="AE22" s="31">
        <f t="shared" si="18"/>
        <v>240.7347270144104</v>
      </c>
      <c r="AF22" s="31">
        <f t="shared" si="19"/>
        <v>98.222928715959895</v>
      </c>
      <c r="AG22" s="31">
        <f t="shared" si="20"/>
        <v>40.801312687255241</v>
      </c>
      <c r="AH22" s="32">
        <f t="shared" si="21"/>
        <v>1.0171437734996358</v>
      </c>
      <c r="AI22" s="32">
        <f t="shared" si="22"/>
        <v>0.65046012187326241</v>
      </c>
      <c r="AJ22" s="32">
        <f t="shared" si="23"/>
        <v>-0.3666836516263734</v>
      </c>
      <c r="AK22" s="32">
        <f t="shared" si="3"/>
        <v>4524.8556000000008</v>
      </c>
      <c r="AL22" s="32">
        <f t="shared" si="4"/>
        <v>3753.8399113700002</v>
      </c>
      <c r="AM22" s="35"/>
      <c r="AN22" s="35"/>
      <c r="AO22" s="35"/>
    </row>
    <row r="23" spans="1:41" s="38" customFormat="1" ht="30" customHeight="1" x14ac:dyDescent="0.25">
      <c r="A23" s="41" t="s">
        <v>16</v>
      </c>
      <c r="B23" s="28">
        <v>3373429.4616033798</v>
      </c>
      <c r="C23" s="28">
        <v>3620060.9096502117</v>
      </c>
      <c r="D23" s="29">
        <v>511757.00953949976</v>
      </c>
      <c r="E23" s="28">
        <v>570913.82550546923</v>
      </c>
      <c r="F23" s="64">
        <f>(494.532960895105+297)*1000</f>
        <v>791532.96089510503</v>
      </c>
      <c r="G23" s="31">
        <f t="shared" si="0"/>
        <v>220619.13538963581</v>
      </c>
      <c r="H23" s="40">
        <f t="shared" si="5"/>
        <v>111.5595516745733</v>
      </c>
      <c r="I23" s="31">
        <f t="shared" si="6"/>
        <v>138.64315865784235</v>
      </c>
      <c r="J23" s="33">
        <f t="shared" si="25"/>
        <v>27.08360698326905</v>
      </c>
      <c r="K23" s="32">
        <f>E23/$E$8*100+0.03</f>
        <v>89.123783694690204</v>
      </c>
      <c r="L23" s="32">
        <f>F23/$F$8*100</f>
        <v>85.89612045297504</v>
      </c>
      <c r="M23" s="33">
        <f>L23-K23</f>
        <v>-3.2276632417151632</v>
      </c>
      <c r="N23" s="32">
        <f t="shared" si="10"/>
        <v>16.923840619869246</v>
      </c>
      <c r="O23" s="32">
        <f t="shared" si="11"/>
        <v>21.86518350520204</v>
      </c>
      <c r="P23" s="32">
        <f t="shared" si="12"/>
        <v>4.9413428853327943</v>
      </c>
      <c r="Q23" s="33">
        <v>315412.3</v>
      </c>
      <c r="R23" s="30">
        <v>392933.2</v>
      </c>
      <c r="S23" s="30">
        <v>590148.5</v>
      </c>
      <c r="T23" s="31">
        <f t="shared" si="1"/>
        <v>197215.3</v>
      </c>
      <c r="U23" s="31">
        <f t="shared" si="13"/>
        <v>124.57764012373647</v>
      </c>
      <c r="V23" s="31">
        <f t="shared" si="14"/>
        <v>150.19054129302384</v>
      </c>
      <c r="W23" s="33">
        <f t="shared" si="24"/>
        <v>25.612901169287369</v>
      </c>
      <c r="X23" s="31">
        <f t="shared" si="15"/>
        <v>68.82530820691008</v>
      </c>
      <c r="Y23" s="31">
        <f t="shared" si="16"/>
        <v>74.557665840299379</v>
      </c>
      <c r="Z23" s="31">
        <f t="shared" si="17"/>
        <v>5.7323576333892987</v>
      </c>
      <c r="AA23" s="33">
        <v>319.41090000000003</v>
      </c>
      <c r="AB23" s="28">
        <v>398.58340000000004</v>
      </c>
      <c r="AC23" s="30">
        <v>570.23048975999995</v>
      </c>
      <c r="AD23" s="31">
        <f t="shared" si="2"/>
        <v>171.64708975999991</v>
      </c>
      <c r="AE23" s="31">
        <f t="shared" si="18"/>
        <v>124.78703763710004</v>
      </c>
      <c r="AF23" s="31">
        <f t="shared" si="19"/>
        <v>143.06428460392476</v>
      </c>
      <c r="AG23" s="31">
        <f t="shared" si="20"/>
        <v>114.64675122746144</v>
      </c>
      <c r="AH23" s="32">
        <f t="shared" si="21"/>
        <v>85.451611063636022</v>
      </c>
      <c r="AI23" s="32">
        <f t="shared" si="22"/>
        <v>79.593377575983922</v>
      </c>
      <c r="AJ23" s="32">
        <f t="shared" si="23"/>
        <v>-5.8582334876521003</v>
      </c>
      <c r="AK23" s="32">
        <f t="shared" si="3"/>
        <v>392534.61660000001</v>
      </c>
      <c r="AL23" s="32">
        <f t="shared" si="4"/>
        <v>589578.26951023994</v>
      </c>
      <c r="AM23" s="35"/>
      <c r="AN23" s="35"/>
      <c r="AO23" s="35"/>
    </row>
    <row r="24" spans="1:41" x14ac:dyDescent="0.25">
      <c r="G24" s="15"/>
      <c r="H24" s="15"/>
      <c r="I24" s="15"/>
      <c r="J24" s="15"/>
      <c r="T24" s="12"/>
      <c r="U24" s="12"/>
      <c r="V24" s="12"/>
      <c r="AD24" s="16"/>
      <c r="AF24" s="12"/>
      <c r="AK24" s="12"/>
      <c r="AL24" s="12"/>
    </row>
    <row r="25" spans="1:41" s="56" customFormat="1" ht="17.25" x14ac:dyDescent="0.25">
      <c r="A25" s="65" t="s">
        <v>32</v>
      </c>
      <c r="B25" s="66"/>
      <c r="C25" s="66"/>
      <c r="D25" s="66"/>
      <c r="E25" s="66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6"/>
      <c r="S25" s="67"/>
      <c r="T25" s="68"/>
      <c r="U25" s="67"/>
      <c r="V25" s="67"/>
      <c r="W25" s="67"/>
      <c r="X25" s="67"/>
      <c r="Y25" s="67"/>
      <c r="Z25" s="67"/>
      <c r="AA25" s="69"/>
      <c r="AB25" s="69"/>
      <c r="AC25" s="67"/>
      <c r="AD25" s="55"/>
      <c r="AE25" s="55"/>
      <c r="AF25" s="55"/>
    </row>
    <row r="26" spans="1:41" s="56" customFormat="1" ht="17.25" x14ac:dyDescent="0.25">
      <c r="A26" s="70" t="s">
        <v>33</v>
      </c>
      <c r="B26" s="66"/>
      <c r="C26" s="66"/>
      <c r="D26" s="66"/>
      <c r="E26" s="66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71"/>
      <c r="U26" s="67"/>
      <c r="V26" s="67"/>
      <c r="W26" s="67"/>
      <c r="X26" s="67"/>
      <c r="Y26" s="67"/>
      <c r="Z26" s="67"/>
      <c r="AA26" s="69"/>
      <c r="AB26" s="69"/>
      <c r="AC26" s="67"/>
      <c r="AD26" s="55"/>
      <c r="AE26" s="55"/>
      <c r="AF26" s="55"/>
    </row>
    <row r="27" spans="1:41" x14ac:dyDescent="0.25">
      <c r="T27" s="12"/>
      <c r="AK27" s="12"/>
      <c r="AL27" s="12"/>
    </row>
    <row r="28" spans="1:41" x14ac:dyDescent="0.25">
      <c r="T28" s="12"/>
      <c r="AK28" s="12"/>
      <c r="AL28" s="12"/>
    </row>
    <row r="29" spans="1:41" x14ac:dyDescent="0.25">
      <c r="T29" s="12"/>
      <c r="AK29" s="12"/>
      <c r="AL29" s="12"/>
    </row>
  </sheetData>
  <mergeCells count="26">
    <mergeCell ref="G5:G6"/>
    <mergeCell ref="T5:T6"/>
    <mergeCell ref="AD5:AD6"/>
    <mergeCell ref="D5:D6"/>
    <mergeCell ref="A2:AL2"/>
    <mergeCell ref="A4:A6"/>
    <mergeCell ref="B4:C5"/>
    <mergeCell ref="E4:M4"/>
    <mergeCell ref="N4:P5"/>
    <mergeCell ref="AB4:AJ4"/>
    <mergeCell ref="AK4:AL5"/>
    <mergeCell ref="E5:E6"/>
    <mergeCell ref="F5:F6"/>
    <mergeCell ref="H5:J5"/>
    <mergeCell ref="R5:R6"/>
    <mergeCell ref="S5:S6"/>
    <mergeCell ref="R4:Z4"/>
    <mergeCell ref="U5:W5"/>
    <mergeCell ref="X5:Z5"/>
    <mergeCell ref="K5:M5"/>
    <mergeCell ref="AB5:AB6"/>
    <mergeCell ref="AC5:AC6"/>
    <mergeCell ref="AE5:AG5"/>
    <mergeCell ref="AH5:AJ5"/>
    <mergeCell ref="AA5:AA6"/>
    <mergeCell ref="Q5:Q6"/>
  </mergeCells>
  <conditionalFormatting sqref="A16">
    <cfRule type="duplicateValues" dxfId="0" priority="1"/>
  </conditionalFormatting>
  <printOptions horizontalCentered="1"/>
  <pageMargins left="0.23622047244094491" right="0.23622047244094491" top="0.35433070866141736" bottom="0.19685039370078741" header="0.23622047244094491" footer="0.23622047244094491"/>
  <pageSetup paperSize="9" scale="80" fitToHeight="1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Хизматлар жами</vt:lpstr>
      <vt:lpstr>Экспорт-хизмат</vt:lpstr>
      <vt:lpstr>'Хизматлар жами'!Заголовки_для_печати</vt:lpstr>
      <vt:lpstr>'Экспорт-хизмат'!Заголовки_для_печати</vt:lpstr>
      <vt:lpstr>'Хизматлар жами'!Область_печати</vt:lpstr>
      <vt:lpstr>'Экспорт-хизмат'!Область_печати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Botir Irgashev</dc:creator>
  <cp:lastModifiedBy>Sherzod Muminov</cp:lastModifiedBy>
  <cp:lastPrinted>2026-03-11T05:06:20Z</cp:lastPrinted>
  <dcterms:created xsi:type="dcterms:W3CDTF">2015-06-05T18:19:34Z</dcterms:created>
  <dcterms:modified xsi:type="dcterms:W3CDTF">2026-03-12T05:00:50Z</dcterms:modified>
</cp:coreProperties>
</file>