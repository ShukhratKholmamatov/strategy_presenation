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sh.muminov\Desktop\СВОДНЫЕ ИТОГИ\"/>
    </mc:Choice>
  </mc:AlternateContent>
  <bookViews>
    <workbookView xWindow="-120" yWindow="-120" windowWidth="29040" windowHeight="15720" tabRatio="900" firstSheet="4" activeTab="18"/>
  </bookViews>
  <sheets>
    <sheet name="Tarkib" sheetId="28" r:id="rId1"/>
    <sheet name="1-жадвал" sheetId="26" r:id="rId2"/>
    <sheet name="2-жадвал" sheetId="2" r:id="rId3"/>
    <sheet name="3-жадвал" sheetId="3" r:id="rId4"/>
    <sheet name="3.1-жадвал" sheetId="27" r:id="rId5"/>
    <sheet name="3.2-жадвал" sheetId="6" r:id="rId6"/>
    <sheet name="3.3-жадвал" sheetId="21" r:id="rId7"/>
    <sheet name="3.4-жадвал" sheetId="13" r:id="rId8"/>
    <sheet name="4-жадвал" sheetId="7" r:id="rId9"/>
    <sheet name="5-жадвал" sheetId="30" r:id="rId10"/>
    <sheet name="6-жадвал" sheetId="8" r:id="rId11"/>
    <sheet name="6.1-жадвал" sheetId="31" r:id="rId12"/>
    <sheet name="7-жадвал" sheetId="10" r:id="rId13"/>
    <sheet name="7.1-жадвал" sheetId="11" r:id="rId14"/>
    <sheet name="8-жадвал" sheetId="16" r:id="rId15"/>
    <sheet name="8.1-жадвал" sheetId="14" r:id="rId16"/>
    <sheet name="9-жадвал" sheetId="18" r:id="rId17"/>
    <sheet name="9.1-жадвал" sheetId="19" r:id="rId18"/>
    <sheet name="10-жадвал" sheetId="22" r:id="rId19"/>
    <sheet name="11-жадвал" sheetId="32" r:id="rId20"/>
    <sheet name="KPI" sheetId="29" r:id="rId21"/>
  </sheets>
  <externalReferences>
    <externalReference r:id="rId22"/>
  </externalReferences>
  <definedNames>
    <definedName name="________A1" localSheetId="19" hidden="1">#REF!</definedName>
    <definedName name="________A1" localSheetId="9" hidden="1">#REF!</definedName>
    <definedName name="________A1" localSheetId="11" hidden="1">#REF!</definedName>
    <definedName name="________A1" hidden="1">#REF!</definedName>
    <definedName name="_______A1" localSheetId="19" hidden="1">#REF!</definedName>
    <definedName name="_______A1" localSheetId="9" hidden="1">#REF!</definedName>
    <definedName name="_______A1" localSheetId="11" hidden="1">#REF!</definedName>
    <definedName name="_______A1" hidden="1">#REF!</definedName>
    <definedName name="_______a12" localSheetId="19" hidden="1">{"'Monthly 1997'!$A$3:$S$89"}</definedName>
    <definedName name="_______a12" localSheetId="9" hidden="1">{"'Monthly 1997'!$A$3:$S$89"}</definedName>
    <definedName name="_______a12" hidden="1">{"'Monthly 1997'!$A$3:$S$89"}</definedName>
    <definedName name="_____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tt1" localSheetId="19" hidden="1">{#N/A,#N/A,TRUE,"일정"}</definedName>
    <definedName name="_______tt1" localSheetId="9" hidden="1">{#N/A,#N/A,TRUE,"일정"}</definedName>
    <definedName name="_______tt1" hidden="1">{#N/A,#N/A,TRUE,"일정"}</definedName>
    <definedName name="______A1" localSheetId="19" hidden="1">#REF!</definedName>
    <definedName name="______A1" localSheetId="9" hidden="1">#REF!</definedName>
    <definedName name="______A1" localSheetId="11" hidden="1">#REF!</definedName>
    <definedName name="______A1" hidden="1">#REF!</definedName>
    <definedName name="______a12" localSheetId="19" hidden="1">{"'Monthly 1997'!$A$3:$S$89"}</definedName>
    <definedName name="______a12" localSheetId="9" hidden="1">{"'Monthly 1997'!$A$3:$S$89"}</definedName>
    <definedName name="______a12" hidden="1">{"'Monthly 1997'!$A$3:$S$89"}</definedName>
    <definedName name="____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tt1" localSheetId="19" hidden="1">{#N/A,#N/A,TRUE,"일정"}</definedName>
    <definedName name="______tt1" localSheetId="9" hidden="1">{#N/A,#N/A,TRUE,"일정"}</definedName>
    <definedName name="______tt1" hidden="1">{#N/A,#N/A,TRUE,"일정"}</definedName>
    <definedName name="_____A1" localSheetId="19" hidden="1">#REF!</definedName>
    <definedName name="_____A1" localSheetId="9" hidden="1">#REF!</definedName>
    <definedName name="_____A1" localSheetId="11" hidden="1">#REF!</definedName>
    <definedName name="_____A1" hidden="1">#REF!</definedName>
    <definedName name="_____a12" localSheetId="19" hidden="1">{"'Monthly 1997'!$A$3:$S$89"}</definedName>
    <definedName name="_____a12" localSheetId="9" hidden="1">{"'Monthly 1997'!$A$3:$S$89"}</definedName>
    <definedName name="_____a12" hidden="1">{"'Monthly 1997'!$A$3:$S$89"}</definedName>
    <definedName name="___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tt1" localSheetId="19" hidden="1">{#N/A,#N/A,TRUE,"일정"}</definedName>
    <definedName name="_____tt1" localSheetId="9" hidden="1">{#N/A,#N/A,TRUE,"일정"}</definedName>
    <definedName name="_____tt1" hidden="1">{#N/A,#N/A,TRUE,"일정"}</definedName>
    <definedName name="____A1" localSheetId="19" hidden="1">#REF!</definedName>
    <definedName name="____A1" localSheetId="9" hidden="1">#REF!</definedName>
    <definedName name="____A1" localSheetId="11" hidden="1">#REF!</definedName>
    <definedName name="____A1" hidden="1">#REF!</definedName>
    <definedName name="____a12" localSheetId="19" hidden="1">{"'Monthly 1997'!$A$3:$S$89"}</definedName>
    <definedName name="____a12" localSheetId="9" hidden="1">{"'Monthly 1997'!$A$3:$S$89"}</definedName>
    <definedName name="____a12" hidden="1">{"'Monthly 1997'!$A$3:$S$89"}</definedName>
    <definedName name="__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t1" localSheetId="19" hidden="1">{#N/A,#N/A,TRUE,"일정"}</definedName>
    <definedName name="____tt1" localSheetId="9" hidden="1">{#N/A,#N/A,TRUE,"일정"}</definedName>
    <definedName name="____tt1" hidden="1">{#N/A,#N/A,TRUE,"일정"}</definedName>
    <definedName name="___A1" localSheetId="19" hidden="1">#REF!</definedName>
    <definedName name="___A1" localSheetId="9" hidden="1">#REF!</definedName>
    <definedName name="___A1" localSheetId="11" hidden="1">#REF!</definedName>
    <definedName name="___A1" hidden="1">#REF!</definedName>
    <definedName name="___a12" localSheetId="19" hidden="1">{"'Monthly 1997'!$A$3:$S$89"}</definedName>
    <definedName name="___a12" localSheetId="9" hidden="1">{"'Monthly 1997'!$A$3:$S$89"}</definedName>
    <definedName name="___a12" hidden="1">{"'Monthly 1997'!$A$3:$S$89"}</definedName>
    <definedName name="_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t1" localSheetId="19" hidden="1">{#N/A,#N/A,TRUE,"일정"}</definedName>
    <definedName name="___tt1" localSheetId="9" hidden="1">{#N/A,#N/A,TRUE,"일정"}</definedName>
    <definedName name="___tt1" hidden="1">{#N/A,#N/A,TRUE,"일정"}</definedName>
    <definedName name="__A1" localSheetId="19" hidden="1">#REF!</definedName>
    <definedName name="__A1" localSheetId="9" hidden="1">#REF!</definedName>
    <definedName name="__A1" localSheetId="11" hidden="1">#REF!</definedName>
    <definedName name="__A1" hidden="1">#REF!</definedName>
    <definedName name="__a12" localSheetId="19" hidden="1">{"'Monthly 1997'!$A$3:$S$89"}</definedName>
    <definedName name="__a12" localSheetId="9" hidden="1">{"'Monthly 1997'!$A$3:$S$89"}</definedName>
    <definedName name="__a12" hidden="1">{"'Monthly 1997'!$A$3:$S$89"}</definedName>
    <definedName name="_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t1" localSheetId="19" hidden="1">{#N/A,#N/A,TRUE,"일정"}</definedName>
    <definedName name="__tt1" localSheetId="9" hidden="1">{#N/A,#N/A,TRUE,"일정"}</definedName>
    <definedName name="__tt1" hidden="1">{#N/A,#N/A,TRUE,"일정"}</definedName>
    <definedName name="_A1" localSheetId="19" hidden="1">#REF!</definedName>
    <definedName name="_A1" localSheetId="9" hidden="1">#REF!</definedName>
    <definedName name="_A1" localSheetId="11" hidden="1">#REF!</definedName>
    <definedName name="_A1" hidden="1">#REF!</definedName>
    <definedName name="_a12" localSheetId="19" hidden="1">{"'Monthly 1997'!$A$3:$S$89"}</definedName>
    <definedName name="_a12" localSheetId="9" hidden="1">{"'Monthly 1997'!$A$3:$S$89"}</definedName>
    <definedName name="_a12" hidden="1">{"'Monthly 1997'!$A$3:$S$89"}</definedName>
    <definedName name="_AT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ist_Bin" localSheetId="19" hidden="1">#REF!</definedName>
    <definedName name="_Dist_Bin" localSheetId="9" hidden="1">#REF!</definedName>
    <definedName name="_Dist_Bin" localSheetId="11" hidden="1">#REF!</definedName>
    <definedName name="_Dist_Bin" hidden="1">#REF!</definedName>
    <definedName name="_Dist_Values" localSheetId="19" hidden="1">#REF!</definedName>
    <definedName name="_Dist_Values" localSheetId="9" hidden="1">#REF!</definedName>
    <definedName name="_Dist_Values" localSheetId="11" hidden="1">#REF!</definedName>
    <definedName name="_Dist_Values" hidden="1">#REF!</definedName>
    <definedName name="_Fill" localSheetId="19" hidden="1">#REF!</definedName>
    <definedName name="_Fill" localSheetId="9" hidden="1">#REF!</definedName>
    <definedName name="_Fill" localSheetId="11" hidden="1">#REF!</definedName>
    <definedName name="_Fill" hidden="1">#REF!</definedName>
    <definedName name="_J200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ey1" localSheetId="19" hidden="1">#REF!</definedName>
    <definedName name="_Key1" localSheetId="9" hidden="1">#REF!</definedName>
    <definedName name="_Key1" localSheetId="11" hidden="1">#REF!</definedName>
    <definedName name="_Key1" hidden="1">#REF!</definedName>
    <definedName name="_Key2" localSheetId="19" hidden="1">#REF!</definedName>
    <definedName name="_Key2" localSheetId="9" hidden="1">#REF!</definedName>
    <definedName name="_Key2" localSheetId="11" hidden="1">#REF!</definedName>
    <definedName name="_Key2" hidden="1">#REF!</definedName>
    <definedName name="_MatInverse_In" localSheetId="19" hidden="1">#REF!</definedName>
    <definedName name="_MatInverse_In" localSheetId="9" hidden="1">#REF!</definedName>
    <definedName name="_MatInverse_In" localSheetId="11" hidden="1">#REF!</definedName>
    <definedName name="_MatInverse_In" hidden="1">#REF!</definedName>
    <definedName name="_MatInverse_Out" localSheetId="19" hidden="1">#REF!</definedName>
    <definedName name="_MatInverse_Out" localSheetId="9" hidden="1">#REF!</definedName>
    <definedName name="_MatInverse_Out" localSheetId="11" hidden="1">#REF!</definedName>
    <definedName name="_MatInverse_Out" hidden="1">#REF!</definedName>
    <definedName name="_Order1" hidden="1">255</definedName>
    <definedName name="_Order2" hidden="1">0</definedName>
    <definedName name="_Sort" localSheetId="19" hidden="1">#REF!</definedName>
    <definedName name="_Sort" localSheetId="9" hidden="1">#REF!</definedName>
    <definedName name="_Sort" localSheetId="11" hidden="1">#REF!</definedName>
    <definedName name="_Sort" hidden="1">#REF!</definedName>
    <definedName name="_tt1" localSheetId="19" hidden="1">{#N/A,#N/A,TRUE,"일정"}</definedName>
    <definedName name="_tt1" localSheetId="9" hidden="1">{#N/A,#N/A,TRUE,"일정"}</definedName>
    <definedName name="_tt1" hidden="1">{#N/A,#N/A,TRUE,"일정"}</definedName>
    <definedName name="_xlnm._FilterDatabase" localSheetId="1" hidden="1">'[1]Table 1'!$A$4:$T$29</definedName>
    <definedName name="aaasasf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"Kaspl_5_ПЛАН_4_Таблица1"</definedName>
    <definedName name="AccessDatabase" hidden="1">"C:\Documents and Settings\schoolfund1\Рабочий стол\жаха\прогноз доходов 2005 помесяц..mdb"</definedName>
    <definedName name="af" localSheetId="19" hidden="1">{#N/A,#N/A,FALSE,"BODY"}</definedName>
    <definedName name="af" localSheetId="9" hidden="1">{#N/A,#N/A,FALSE,"BODY"}</definedName>
    <definedName name="af" hidden="1">{#N/A,#N/A,FALSE,"BODY"}</definedName>
    <definedName name="aqz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" localSheetId="19" hidden="1">{"'Monthly 1997'!$A$3:$S$89"}</definedName>
    <definedName name="cho" localSheetId="9" hidden="1">{"'Monthly 1997'!$A$3:$S$89"}</definedName>
    <definedName name="cho" hidden="1">{"'Monthly 1997'!$A$3:$S$89"}</definedName>
    <definedName name="ddd" localSheetId="19" hidden="1">{#N/A,#N/A,TRUE,"일정"}</definedName>
    <definedName name="ddd" localSheetId="9" hidden="1">{#N/A,#N/A,TRUE,"일정"}</definedName>
    <definedName name="ddd" hidden="1">{#N/A,#N/A,TRUE,"일정"}</definedName>
    <definedName name="ddddddddd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EE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dfsfdsfdsfds" localSheetId="19" hidden="1">{#N/A,#N/A,FALSE,"BODY"}</definedName>
    <definedName name="fdsdfsfdsfdsfds" localSheetId="9" hidden="1">{#N/A,#N/A,FALSE,"BODY"}</definedName>
    <definedName name="fdsdfsfdsfdsfds" hidden="1">{#N/A,#N/A,FALSE,"BODY"}</definedName>
    <definedName name="ffx" localSheetId="19" hidden="1">{#N/A,#N/A,FALSE,"BODY"}</definedName>
    <definedName name="ffx" localSheetId="9" hidden="1">{#N/A,#N/A,FALSE,"BODY"}</definedName>
    <definedName name="ffx" hidden="1">{#N/A,#N/A,FALSE,"BODY"}</definedName>
    <definedName name="front_2" localSheetId="19" hidden="1">{#N/A,#N/A,FALSE,"BODY"}</definedName>
    <definedName name="front_2" localSheetId="9" hidden="1">{#N/A,#N/A,FALSE,"BODY"}</definedName>
    <definedName name="front_2" hidden="1">{#N/A,#N/A,FALSE,"BODY"}</definedName>
    <definedName name="HTML_CodePage" hidden="1">874</definedName>
    <definedName name="HTML_Control" localSheetId="19" hidden="1">{"'Monthly 1997'!$A$3:$S$89"}</definedName>
    <definedName name="HTML_Control" localSheetId="9" hidden="1">{"'Monthly 1997'!$A$3:$S$89"}</definedName>
    <definedName name="HTML_Control" hidden="1">{"'Monthly 1997'!$A$3:$S$89"}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KK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19" hidden="1">{#N/A,#N/A,FALSE,"BODY"}</definedName>
    <definedName name="KLJLK" localSheetId="9" hidden="1">{#N/A,#N/A,FALSE,"BODY"}</definedName>
    <definedName name="KLJLK" hidden="1">{#N/A,#N/A,FALSE,"BODY"}</definedName>
    <definedName name="LL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ocal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" localSheetId="19" hidden="1">#REF!</definedName>
    <definedName name="mh" localSheetId="9" hidden="1">#REF!</definedName>
    <definedName name="mh" localSheetId="11" hidden="1">#REF!</definedName>
    <definedName name="mh" hidden="1">#REF!</definedName>
    <definedName name="monthl" localSheetId="19" hidden="1">{"'Monthly 1997'!$A$3:$S$89"}</definedName>
    <definedName name="monthl" localSheetId="9" hidden="1">{"'Monthly 1997'!$A$3:$S$89"}</definedName>
    <definedName name="monthl" hidden="1">{"'Monthly 1997'!$A$3:$S$89"}</definedName>
    <definedName name="Monthly" localSheetId="19" hidden="1">{"'Monthly 1997'!$A$3:$S$89"}</definedName>
    <definedName name="Monthly" localSheetId="9" hidden="1">{"'Monthly 1997'!$A$3:$S$89"}</definedName>
    <definedName name="Monthly" hidden="1">{"'Monthly 1997'!$A$3:$S$89"}</definedName>
    <definedName name="OO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CK" localSheetId="19" hidden="1">{#N/A,#N/A,FALSE,"BODY"}</definedName>
    <definedName name="PACK" localSheetId="9" hidden="1">{#N/A,#N/A,FALSE,"BODY"}</definedName>
    <definedName name="PACK" hidden="1">{#N/A,#N/A,FALSE,"BODY"}</definedName>
    <definedName name="PACKING" localSheetId="19" hidden="1">{#N/A,#N/A,FALSE,"BODY"}</definedName>
    <definedName name="PACKING" localSheetId="9" hidden="1">{#N/A,#N/A,FALSE,"BODY"}</definedName>
    <definedName name="PACKING" hidden="1">{#N/A,#N/A,FALSE,"BODY"}</definedName>
    <definedName name="PACKINGLIST" localSheetId="19" hidden="1">{#N/A,#N/A,FALSE,"BODY"}</definedName>
    <definedName name="PACKINGLIST" localSheetId="9" hidden="1">{#N/A,#N/A,FALSE,"BODY"}</definedName>
    <definedName name="PACKINGLIST" hidden="1">{#N/A,#N/A,FALSE,"BODY"}</definedName>
    <definedName name="PL" localSheetId="19" hidden="1">{#N/A,#N/A,FALSE,"BODY"}</definedName>
    <definedName name="PL" localSheetId="9" hidden="1">{#N/A,#N/A,FALSE,"BODY"}</definedName>
    <definedName name="PL" hidden="1">{#N/A,#N/A,FALSE,"BODY"}</definedName>
    <definedName name="re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sssreywwetw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localSheetId="19" hidden="1">{"'Monthly 1997'!$A$3:$S$89"}</definedName>
    <definedName name="sung" localSheetId="9" hidden="1">{"'Monthly 1997'!$A$3:$S$89"}</definedName>
    <definedName name="sung" hidden="1">{"'Monthly 1997'!$A$3:$S$89"}</definedName>
    <definedName name="sung2" localSheetId="19" hidden="1">{"'Monthly 1997'!$A$3:$S$89"}</definedName>
    <definedName name="sung2" localSheetId="9" hidden="1">{"'Monthly 1997'!$A$3:$S$89"}</definedName>
    <definedName name="sung2" hidden="1">{"'Monthly 1997'!$A$3:$S$89"}</definedName>
    <definedName name="tt" localSheetId="19" hidden="1">{#N/A,#N/A,TRUE,"일정"}</definedName>
    <definedName name="tt" localSheetId="9" hidden="1">{#N/A,#N/A,TRUE,"일정"}</definedName>
    <definedName name="tt" hidden="1">{#N/A,#N/A,TRUE,"일정"}</definedName>
    <definedName name="TYR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geawe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ccr." localSheetId="19" hidden="1">{#N/A,#N/A,FALSE,"BODY"}</definedName>
    <definedName name="wrn.ccr." localSheetId="9" hidden="1">{#N/A,#N/A,FALSE,"BODY"}</definedName>
    <definedName name="wrn.ccr." hidden="1">{#N/A,#N/A,FALSE,"BODY"}</definedName>
    <definedName name="wrn.DDD.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Print._.All." localSheetId="19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localSheetId="9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9" hidden="1">{#N/A,#N/A,FALSE,"단축1";#N/A,#N/A,FALSE,"단축2";#N/A,#N/A,FALSE,"단축3";#N/A,#N/A,FALSE,"장축";#N/A,#N/A,FALSE,"4WD"}</definedName>
    <definedName name="wrn.전부인쇄." localSheetId="9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19" hidden="1">{#N/A,#N/A,TRUE,"일정"}</definedName>
    <definedName name="wrn.주간._.보고." localSheetId="9" hidden="1">{#N/A,#N/A,TRUE,"일정"}</definedName>
    <definedName name="wrn.주간._.보고." hidden="1">{#N/A,#N/A,TRUE,"일정"}</definedName>
    <definedName name="WWW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19" hidden="1">{#N/A,#N/A,TRUE,"일정"}</definedName>
    <definedName name="WWWW" localSheetId="9" hidden="1">{#N/A,#N/A,TRUE,"일정"}</definedName>
    <definedName name="WWWW" hidden="1">{#N/A,#N/A,TRUE,"일정"}</definedName>
    <definedName name="Z_102768B9_FC9A_44F1_A971_9520B69383E9_.wvu.FilterData" localSheetId="1" hidden="1">'[1]Table 1'!$A$7:$T$29</definedName>
    <definedName name="Z_259C6F99_83FA_4036_B9F3_1F58F2491A03_.wvu.Cols" localSheetId="1" hidden="1">'[1]Table 1'!#REF!</definedName>
    <definedName name="Z_259C6F99_83FA_4036_B9F3_1F58F2491A03_.wvu.FilterData" localSheetId="1" hidden="1">'[1]Table 1'!$A$7:$T$29</definedName>
    <definedName name="Z_2666DCFA_3436_42FD_8408_DA4F5BE0417B_.wvu.Cols" localSheetId="1" hidden="1">'[1]Table 1'!#REF!</definedName>
    <definedName name="Z_2666DCFA_3436_42FD_8408_DA4F5BE0417B_.wvu.FilterData" localSheetId="1" hidden="1">'[1]Table 1'!$A$7:$T$29</definedName>
    <definedName name="Z_30DFBC28_216A_496F_81CF_E495D06558B5_.wvu.FilterData" localSheetId="1" hidden="1">'[1]Table 1'!$A$7:$T$29</definedName>
    <definedName name="Z_72DFB3AC_A0BD_4F5A_8F51_FAC43410F619_.wvu.Cols" localSheetId="1" hidden="1">'[1]Table 1'!#REF!</definedName>
    <definedName name="Z_72DFB3AC_A0BD_4F5A_8F51_FAC43410F619_.wvu.FilterData" localSheetId="1" hidden="1">'[1]Table 1'!$A$7:$T$29</definedName>
    <definedName name="Z_7D6266C9_F342_42C5_BC6C_F4483714D258_.wvu.FilterData" localSheetId="1" hidden="1">'[1]Table 1'!$A$7:$T$27</definedName>
    <definedName name="Z_86A21AE1_D222_11D6_8098_444553540000_.wvu.Cols" hidden="1">#N/A</definedName>
    <definedName name="Z_9DB5B68B_8E30_404A_A0DF_92E96825650E_.wvu.FilterData" localSheetId="1" hidden="1">'[1]Table 1'!$A$7:$T$29</definedName>
    <definedName name="Z_B01F82C8_E2BF_11D8_BD33_0000F8781956_.wvu.Cols" localSheetId="19" hidden="1">#REF!,#REF!,#REF!,#REF!,#REF!,#REF!,#REF!,#REF!,#REF!,#REF!,#REF!,#REF!,#REF!,#REF!</definedName>
    <definedName name="Z_B01F82C8_E2BF_11D8_BD33_0000F8781956_.wvu.Cols" localSheetId="9" hidden="1">#REF!,#REF!,#REF!,#REF!,#REF!,#REF!,#REF!,#REF!,#REF!,#REF!,#REF!,#REF!,#REF!,#REF!</definedName>
    <definedName name="Z_B01F82C8_E2BF_11D8_BD33_0000F8781956_.wvu.Cols" localSheetId="11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19" hidden="1">#REF!</definedName>
    <definedName name="Z_B01F82C8_E2BF_11D8_BD33_0000F8781956_.wvu.PrintTitles" localSheetId="9" hidden="1">#REF!</definedName>
    <definedName name="Z_B01F82C8_E2BF_11D8_BD33_0000F8781956_.wvu.PrintTitles" localSheetId="11" hidden="1">#REF!</definedName>
    <definedName name="Z_B01F82C8_E2BF_11D8_BD33_0000F8781956_.wvu.PrintTitles" hidden="1">#REF!</definedName>
    <definedName name="АК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п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дд" localSheetId="19" hidden="1">#REF!,#REF!,#REF!,#REF!</definedName>
    <definedName name="ддддд" localSheetId="9" hidden="1">#REF!,#REF!,#REF!,#REF!</definedName>
    <definedName name="ддддд" localSheetId="11" hidden="1">#REF!,#REF!,#REF!,#REF!</definedName>
    <definedName name="ддддд" hidden="1">#REF!,#REF!,#REF!,#REF!</definedName>
    <definedName name="жжжжжжж" localSheetId="19" hidden="1">#REF!</definedName>
    <definedName name="жжжжжжж" localSheetId="9" hidden="1">#REF!</definedName>
    <definedName name="жжжжжжж" localSheetId="11" hidden="1">#REF!</definedName>
    <definedName name="жжжжжжж" hidden="1">#REF!</definedName>
    <definedName name="_xlnm.Print_Titles" localSheetId="1">'[1]Table 1'!$4:$5</definedName>
    <definedName name="_xlnm.Print_Titles" localSheetId="9">'5-жадвал'!$5:$5</definedName>
    <definedName name="нар26" hidden="1">#N/A</definedName>
    <definedName name="_xlnm.Print_Area" localSheetId="1">'[1]Table 1'!$A$1:$T$29</definedName>
    <definedName name="_xlnm.Print_Area" localSheetId="9">'5-жадвал'!$A$1:$I$21</definedName>
    <definedName name="_xlnm.Print_Area" localSheetId="11">'6.1-жадвал'!$A$1:$M$23</definedName>
    <definedName name="_xlnm.Print_Area" localSheetId="10">'6-жадвал'!$A$1:$L$24</definedName>
    <definedName name="_xlnm.Print_Area" localSheetId="20">KPI!$B$1:$C$21</definedName>
    <definedName name="ольга" localSheetId="19" hidden="1">{#N/A,#N/A,FALSE,"BODY"}</definedName>
    <definedName name="ольга" localSheetId="9" hidden="1">{#N/A,#N/A,FALSE,"BODY"}</definedName>
    <definedName name="ольга" hidden="1">{#N/A,#N/A,FALSE,"BODY"}</definedName>
    <definedName name="ооллолол" localSheetId="19" hidden="1">#REF!</definedName>
    <definedName name="ооллолол" localSheetId="9" hidden="1">#REF!</definedName>
    <definedName name="ооллолол" localSheetId="11" hidden="1">#REF!</definedName>
    <definedName name="ооллолол" hidden="1">#REF!</definedName>
    <definedName name="ооооо" localSheetId="19" hidden="1">#REF!,#REF!,#REF!,#REF!</definedName>
    <definedName name="ооооо" localSheetId="9" hidden="1">#REF!,#REF!,#REF!,#REF!</definedName>
    <definedName name="ооооо" localSheetId="11" hidden="1">#REF!,#REF!,#REF!,#REF!</definedName>
    <definedName name="ооооо" hidden="1">#REF!,#REF!,#REF!,#REF!</definedName>
    <definedName name="отстав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пп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Территории" localSheetId="19" hidden="1">#REF!</definedName>
    <definedName name="Территории" localSheetId="9" hidden="1">#REF!</definedName>
    <definedName name="Территории" localSheetId="11" hidden="1">#REF!</definedName>
    <definedName name="Территории" hidden="1">#REF!</definedName>
    <definedName name="ф5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эээээ" localSheetId="19" hidden="1">#REF!</definedName>
    <definedName name="ээээээ" localSheetId="9" hidden="1">#REF!</definedName>
    <definedName name="ээээээ" localSheetId="11" hidden="1">#REF!</definedName>
    <definedName name="ээээээ" hidden="1">#REF!</definedName>
    <definedName name="구조조정계획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1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ㄴ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19" hidden="1">{#N/A,#N/A,FALSE,"BODY"}</definedName>
    <definedName name="단가" localSheetId="9" hidden="1">{#N/A,#N/A,FALSE,"BODY"}</definedName>
    <definedName name="단가" hidden="1">{#N/A,#N/A,FALSE,"BODY"}</definedName>
    <definedName name="ㅁㅇㄹㄹㄼㅂㅈㄷ1132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19" hidden="1">{#N/A,#N/A,TRUE,"일정"}</definedName>
    <definedName name="미" localSheetId="9" hidden="1">{#N/A,#N/A,TRUE,"일정"}</definedName>
    <definedName name="미" hidden="1">{#N/A,#N/A,TRUE,"일정"}</definedName>
    <definedName name="미승인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19" hidden="1">{#N/A,#N/A,FALSE,"BODY"}</definedName>
    <definedName name="병수3" localSheetId="9" hidden="1">{#N/A,#N/A,FALSE,"BODY"}</definedName>
    <definedName name="병수3" hidden="1">{#N/A,#N/A,FALSE,"BODY"}</definedName>
    <definedName name="사업환경" localSheetId="19" hidden="1">{#N/A,#N/A,FALSE,"BODY"}</definedName>
    <definedName name="사업환경" localSheetId="9" hidden="1">{#N/A,#N/A,FALSE,"BODY"}</definedName>
    <definedName name="사업환경" hidden="1">{#N/A,#N/A,FALSE,"BODY"}</definedName>
    <definedName name="새일정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손익" localSheetId="19" hidden="1">{#N/A,#N/A,FALSE,"BODY"}</definedName>
    <definedName name="손익" localSheetId="9" hidden="1">{#N/A,#N/A,FALSE,"BODY"}</definedName>
    <definedName name="손익" hidden="1">{#N/A,#N/A,FALSE,"BODY"}</definedName>
    <definedName name="시기조정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ㅇㅇ" localSheetId="19" hidden="1">{#VALUE!,#N/A,TRUE,0}</definedName>
    <definedName name="ㅇㅇㅇㅇㅇ" localSheetId="9" hidden="1">{#VALUE!,#N/A,TRUE,0}</definedName>
    <definedName name="ㅇㅇㅇㅇㅇ" hidden="1">{#VALUE!,#N/A,TRUE,0}</definedName>
    <definedName name="ㅇㅇㅇㅇㅇㅇㅇㅇㅇㅇㅇ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19" hidden="1">{#N/A,#N/A,FALSE,"BODY"}</definedName>
    <definedName name="원가계획" localSheetId="9" hidden="1">{#N/A,#N/A,FALSE,"BODY"}</definedName>
    <definedName name="원가계획" hidden="1">{#N/A,#N/A,FALSE,"BODY"}</definedName>
    <definedName name="이명철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료비" localSheetId="19" hidden="1">{#N/A,#N/A,FALSE,"BODY"}</definedName>
    <definedName name="재료비" localSheetId="9" hidden="1">{#N/A,#N/A,FALSE,"BODY"}</definedName>
    <definedName name="재료비" hidden="1">{#N/A,#N/A,FALSE,"BODY"}</definedName>
    <definedName name="정비대수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" localSheetId="1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localSheetId="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19" hidden="1">{#N/A,#N/A,TRUE,"일정"}</definedName>
    <definedName name="차차" localSheetId="9" hidden="1">{#N/A,#N/A,TRUE,"일정"}</definedName>
    <definedName name="차차" hidden="1">{#N/A,#N/A,TRUE,"일정"}</definedName>
    <definedName name="초ㅐ" localSheetId="19" hidden="1">{"'Monthly 1997'!$A$3:$S$89"}</definedName>
    <definedName name="초ㅐ" localSheetId="9" hidden="1">{"'Monthly 1997'!$A$3:$S$89"}</definedName>
    <definedName name="초ㅐ" hidden="1">{"'Monthly 1997'!$A$3:$S$89"}</definedName>
    <definedName name="판매보증" localSheetId="1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1" i="29" l="1"/>
  <c r="AA20" i="29"/>
  <c r="AA19" i="29"/>
  <c r="AA18" i="29"/>
  <c r="AA17" i="29"/>
  <c r="AA16" i="29"/>
  <c r="AA15" i="29"/>
  <c r="AA14" i="29"/>
  <c r="AA13" i="29"/>
  <c r="AA12" i="29"/>
  <c r="AA11" i="29"/>
  <c r="AA10" i="29"/>
  <c r="AA9" i="29"/>
  <c r="AA8" i="29"/>
  <c r="AA7" i="29"/>
  <c r="AA6" i="29"/>
  <c r="X21" i="29"/>
  <c r="X20" i="29"/>
  <c r="X19" i="29"/>
  <c r="X18" i="29"/>
  <c r="X17" i="29"/>
  <c r="X16" i="29"/>
  <c r="X15" i="29"/>
  <c r="X14" i="29"/>
  <c r="X13" i="29"/>
  <c r="X12" i="29"/>
  <c r="X11" i="29"/>
  <c r="X10" i="29"/>
  <c r="X9" i="29"/>
  <c r="X8" i="29"/>
  <c r="X7" i="29"/>
  <c r="X6" i="29"/>
  <c r="U21" i="29"/>
  <c r="U20" i="29"/>
  <c r="U19" i="29"/>
  <c r="U18" i="29"/>
  <c r="U17" i="29"/>
  <c r="U16" i="29"/>
  <c r="U15" i="29"/>
  <c r="U14" i="29"/>
  <c r="U13" i="29"/>
  <c r="U12" i="29"/>
  <c r="U11" i="29"/>
  <c r="U10" i="29"/>
  <c r="U9" i="29"/>
  <c r="U8" i="29"/>
  <c r="U7" i="29"/>
  <c r="U6" i="29"/>
  <c r="R21" i="29"/>
  <c r="R20" i="29"/>
  <c r="R19" i="29"/>
  <c r="R18" i="29"/>
  <c r="R17" i="29"/>
  <c r="R16" i="29"/>
  <c r="R15" i="29"/>
  <c r="R14" i="29"/>
  <c r="R13" i="29"/>
  <c r="R12" i="29"/>
  <c r="R11" i="29"/>
  <c r="R10" i="29"/>
  <c r="R9" i="29"/>
  <c r="R8" i="29"/>
  <c r="R7" i="29"/>
  <c r="R6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L21" i="29"/>
  <c r="L20" i="29"/>
  <c r="L19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G19" i="22"/>
  <c r="G18" i="22"/>
  <c r="G17" i="22"/>
  <c r="G16" i="22"/>
  <c r="G15" i="22"/>
  <c r="G14" i="22"/>
  <c r="G13" i="22"/>
  <c r="G12" i="22"/>
  <c r="G11" i="22"/>
  <c r="G10" i="22"/>
  <c r="G9" i="22"/>
  <c r="G7" i="22"/>
  <c r="F12" i="18"/>
  <c r="F11" i="18"/>
  <c r="F10" i="18"/>
  <c r="F9" i="18"/>
  <c r="F7" i="18"/>
  <c r="F24" i="16"/>
  <c r="F23" i="16"/>
  <c r="F22" i="16"/>
  <c r="F21" i="16"/>
  <c r="F20" i="16"/>
  <c r="F19" i="16"/>
  <c r="F11" i="16"/>
  <c r="F10" i="16"/>
  <c r="F9" i="16"/>
  <c r="F7" i="16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9" i="10"/>
  <c r="F8" i="10"/>
  <c r="F7" i="10"/>
  <c r="F6" i="10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8" i="31"/>
  <c r="L7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8" i="31"/>
  <c r="I7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8" i="31"/>
  <c r="F7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8" i="31"/>
  <c r="C7" i="31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8" i="8"/>
  <c r="L7" i="8"/>
  <c r="L6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8" i="8"/>
  <c r="I7" i="8"/>
  <c r="I6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8" i="8"/>
  <c r="F7" i="8"/>
  <c r="F6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8" i="8"/>
  <c r="D7" i="8"/>
  <c r="D6" i="8"/>
  <c r="F21" i="30"/>
  <c r="F20" i="30"/>
  <c r="F19" i="30"/>
  <c r="F18" i="30"/>
  <c r="F17" i="30"/>
  <c r="F16" i="30"/>
  <c r="F15" i="30"/>
  <c r="F14" i="30"/>
  <c r="F13" i="30"/>
  <c r="F12" i="30"/>
  <c r="F11" i="30"/>
  <c r="F9" i="30"/>
  <c r="F8" i="30"/>
  <c r="F7" i="30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7" i="7"/>
  <c r="G24" i="13"/>
  <c r="G23" i="13"/>
  <c r="G22" i="13"/>
  <c r="G21" i="13"/>
  <c r="G20" i="13"/>
  <c r="G19" i="13"/>
  <c r="G18" i="13"/>
  <c r="G17" i="13"/>
  <c r="G16" i="13"/>
  <c r="G15" i="13"/>
  <c r="G13" i="13"/>
  <c r="G12" i="13"/>
  <c r="G11" i="13"/>
  <c r="G10" i="13"/>
  <c r="G9" i="13"/>
  <c r="G7" i="13"/>
  <c r="G24" i="21"/>
  <c r="G23" i="21"/>
  <c r="G22" i="21"/>
  <c r="G21" i="21"/>
  <c r="G20" i="21"/>
  <c r="G19" i="21"/>
  <c r="G18" i="21"/>
  <c r="G17" i="21"/>
  <c r="G16" i="21"/>
  <c r="G15" i="21"/>
  <c r="G13" i="21"/>
  <c r="G12" i="21"/>
  <c r="G11" i="21"/>
  <c r="G10" i="21"/>
  <c r="G9" i="21"/>
  <c r="G7" i="21"/>
  <c r="F26" i="6"/>
  <c r="F24" i="6"/>
  <c r="F22" i="6"/>
  <c r="F20" i="6"/>
  <c r="F18" i="6"/>
  <c r="F16" i="6"/>
  <c r="F14" i="6"/>
  <c r="F12" i="6"/>
  <c r="F10" i="6"/>
  <c r="F8" i="6"/>
  <c r="F88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98" i="27"/>
  <c r="F97" i="27"/>
  <c r="F96" i="27"/>
  <c r="F95" i="27"/>
  <c r="F94" i="27"/>
  <c r="F93" i="27"/>
  <c r="F92" i="27"/>
  <c r="F91" i="27"/>
  <c r="F90" i="27"/>
  <c r="F89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3" i="27"/>
  <c r="F72" i="27"/>
  <c r="F71" i="27"/>
  <c r="F70" i="27"/>
  <c r="F69" i="27"/>
  <c r="F68" i="27"/>
  <c r="F67" i="27"/>
  <c r="F66" i="27"/>
  <c r="F65" i="27"/>
  <c r="F64" i="27"/>
  <c r="F63" i="27"/>
  <c r="F62" i="27"/>
  <c r="F61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F30" i="27"/>
  <c r="F29" i="27"/>
  <c r="F28" i="27"/>
  <c r="F27" i="27"/>
  <c r="F2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11" i="27"/>
  <c r="F10" i="27"/>
  <c r="F9" i="27"/>
  <c r="F8" i="27"/>
  <c r="F7" i="27"/>
  <c r="F25" i="3"/>
  <c r="F24" i="3"/>
  <c r="F23" i="3"/>
  <c r="F22" i="3"/>
  <c r="F21" i="3"/>
  <c r="F20" i="3"/>
  <c r="F19" i="3"/>
  <c r="F18" i="3"/>
  <c r="F16" i="3"/>
  <c r="F15" i="3"/>
  <c r="F14" i="3"/>
  <c r="F13" i="3"/>
  <c r="F12" i="3"/>
  <c r="F11" i="3"/>
  <c r="F10" i="3"/>
  <c r="F7" i="3"/>
  <c r="F19" i="2"/>
  <c r="F18" i="2"/>
  <c r="F17" i="2"/>
  <c r="F16" i="2"/>
  <c r="F15" i="2"/>
  <c r="F14" i="2"/>
  <c r="F13" i="2"/>
  <c r="F12" i="2"/>
  <c r="F11" i="2"/>
  <c r="F10" i="2"/>
  <c r="F9" i="2"/>
  <c r="F7" i="2"/>
  <c r="T30" i="26"/>
  <c r="T29" i="26"/>
  <c r="T28" i="26"/>
  <c r="T27" i="26"/>
  <c r="T26" i="26"/>
  <c r="T25" i="26"/>
  <c r="T24" i="26"/>
  <c r="T23" i="26"/>
  <c r="T22" i="26"/>
  <c r="T21" i="26"/>
  <c r="T20" i="26"/>
  <c r="P30" i="26"/>
  <c r="P29" i="26"/>
  <c r="P28" i="26"/>
  <c r="P27" i="26"/>
  <c r="P26" i="26"/>
  <c r="P25" i="26"/>
  <c r="P24" i="26"/>
  <c r="P23" i="26"/>
  <c r="P22" i="26"/>
  <c r="P21" i="26"/>
  <c r="P20" i="26"/>
  <c r="L30" i="26"/>
  <c r="L29" i="26"/>
  <c r="L28" i="26"/>
  <c r="L27" i="26"/>
  <c r="L26" i="26"/>
  <c r="L25" i="26"/>
  <c r="L24" i="26"/>
  <c r="L23" i="26"/>
  <c r="L22" i="26"/>
  <c r="L21" i="26"/>
  <c r="L20" i="26"/>
  <c r="H30" i="26"/>
  <c r="H29" i="26"/>
  <c r="H28" i="26"/>
  <c r="H27" i="26"/>
  <c r="H26" i="26"/>
  <c r="H25" i="26"/>
  <c r="H24" i="26"/>
  <c r="H23" i="26"/>
  <c r="H22" i="26"/>
  <c r="H21" i="26"/>
  <c r="H20" i="26"/>
  <c r="T18" i="26"/>
  <c r="T17" i="26"/>
  <c r="T16" i="26"/>
  <c r="T15" i="26"/>
  <c r="T14" i="26"/>
  <c r="T13" i="26"/>
  <c r="T12" i="26"/>
  <c r="T11" i="26"/>
  <c r="T10" i="26"/>
  <c r="T9" i="26"/>
  <c r="T8" i="26"/>
  <c r="T7" i="26"/>
  <c r="P18" i="26"/>
  <c r="P17" i="26"/>
  <c r="P16" i="26"/>
  <c r="P15" i="26"/>
  <c r="P14" i="26"/>
  <c r="P13" i="26"/>
  <c r="P12" i="26"/>
  <c r="P11" i="26"/>
  <c r="P10" i="26"/>
  <c r="P9" i="26"/>
  <c r="P8" i="26"/>
  <c r="P7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D9" i="3" l="1"/>
  <c r="C7" i="11" l="1"/>
  <c r="D7" i="2" l="1"/>
  <c r="C7" i="2"/>
  <c r="C7" i="7" s="1"/>
  <c r="D5" i="32"/>
  <c r="C5" i="32"/>
  <c r="C5" i="22"/>
  <c r="E15" i="13" l="1"/>
  <c r="H7" i="10"/>
  <c r="H8" i="10"/>
  <c r="H21" i="10"/>
  <c r="H18" i="10"/>
  <c r="H19" i="10"/>
  <c r="H13" i="10"/>
  <c r="H25" i="10"/>
  <c r="H23" i="10"/>
  <c r="H26" i="10"/>
  <c r="H16" i="10"/>
  <c r="H24" i="10"/>
  <c r="H17" i="10"/>
  <c r="H11" i="10"/>
  <c r="H15" i="10"/>
  <c r="H27" i="10"/>
  <c r="H20" i="10"/>
  <c r="H14" i="10"/>
  <c r="H22" i="10"/>
  <c r="H12" i="10"/>
  <c r="E18" i="10"/>
  <c r="E19" i="10"/>
  <c r="E13" i="10"/>
  <c r="E25" i="10"/>
  <c r="E23" i="10"/>
  <c r="E26" i="10"/>
  <c r="E16" i="10"/>
  <c r="E24" i="10"/>
  <c r="E17" i="10"/>
  <c r="E11" i="10"/>
  <c r="E15" i="10"/>
  <c r="E27" i="10"/>
  <c r="E20" i="10"/>
  <c r="E14" i="10"/>
  <c r="E22" i="10"/>
  <c r="E21" i="10"/>
  <c r="E12" i="10"/>
  <c r="D9" i="10"/>
  <c r="C9" i="10"/>
  <c r="E8" i="10"/>
  <c r="E7" i="10"/>
  <c r="D14" i="7"/>
  <c r="C14" i="7"/>
  <c r="C9" i="3"/>
  <c r="E18" i="2"/>
  <c r="E17" i="2"/>
  <c r="G31" i="8" l="1"/>
  <c r="G29" i="8" s="1"/>
  <c r="E31" i="8"/>
  <c r="E29" i="8" s="1"/>
  <c r="B31" i="8"/>
  <c r="B29" i="8" s="1"/>
  <c r="E23" i="13"/>
  <c r="E20" i="13"/>
  <c r="E24" i="13"/>
  <c r="E21" i="13"/>
  <c r="E19" i="13"/>
  <c r="E18" i="13"/>
  <c r="E22" i="13"/>
  <c r="E17" i="13"/>
  <c r="E16" i="13"/>
  <c r="E22" i="21"/>
  <c r="E23" i="21"/>
  <c r="E24" i="21"/>
  <c r="E21" i="21"/>
  <c r="E20" i="21"/>
  <c r="E19" i="21"/>
  <c r="E18" i="21"/>
  <c r="E17" i="21"/>
  <c r="E15" i="21"/>
  <c r="E16" i="21"/>
  <c r="B6" i="8" l="1"/>
  <c r="C7" i="8" s="1"/>
  <c r="J6" i="8"/>
  <c r="G6" i="8"/>
  <c r="E6" i="8"/>
  <c r="J7" i="19" l="1"/>
  <c r="I7" i="19"/>
  <c r="H7" i="19"/>
  <c r="E7" i="19"/>
  <c r="D7" i="19"/>
  <c r="C7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47" i="19"/>
  <c r="K48" i="19"/>
  <c r="K49" i="19"/>
  <c r="K50" i="19"/>
  <c r="K51" i="19"/>
  <c r="K52" i="19"/>
  <c r="K53" i="19"/>
  <c r="K54" i="19"/>
  <c r="K55" i="19"/>
  <c r="K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8" i="19"/>
  <c r="F7" i="19" l="1"/>
  <c r="G12" i="19" s="1"/>
  <c r="K7" i="19"/>
  <c r="G26" i="19" l="1"/>
  <c r="G42" i="19"/>
  <c r="G20" i="19"/>
  <c r="G50" i="19"/>
  <c r="G8" i="19"/>
  <c r="G36" i="19"/>
  <c r="G48" i="19"/>
  <c r="G41" i="19"/>
  <c r="G28" i="19"/>
  <c r="G51" i="19"/>
  <c r="G54" i="19"/>
  <c r="G37" i="19"/>
  <c r="G43" i="19"/>
  <c r="G49" i="19"/>
  <c r="G17" i="19"/>
  <c r="G11" i="19"/>
  <c r="G46" i="19"/>
  <c r="G53" i="19"/>
  <c r="G10" i="19"/>
  <c r="G45" i="19"/>
  <c r="G27" i="19"/>
  <c r="G21" i="19"/>
  <c r="G15" i="19"/>
  <c r="G9" i="19"/>
  <c r="L42" i="19"/>
  <c r="L40" i="19"/>
  <c r="L16" i="19"/>
  <c r="L14" i="19"/>
  <c r="L37" i="19"/>
  <c r="G14" i="19"/>
  <c r="G40" i="19"/>
  <c r="G16" i="19"/>
  <c r="G29" i="19"/>
  <c r="G25" i="19"/>
  <c r="G30" i="19"/>
  <c r="G44" i="19"/>
  <c r="G55" i="19"/>
  <c r="L17" i="19"/>
  <c r="G33" i="19"/>
  <c r="G52" i="19"/>
  <c r="G22" i="19"/>
  <c r="G35" i="19"/>
  <c r="G19" i="19"/>
  <c r="G24" i="19"/>
  <c r="G38" i="19"/>
  <c r="G31" i="19"/>
  <c r="L13" i="19"/>
  <c r="L19" i="19"/>
  <c r="G39" i="19"/>
  <c r="G23" i="19"/>
  <c r="G34" i="19"/>
  <c r="G47" i="19"/>
  <c r="G13" i="19"/>
  <c r="G18" i="19"/>
  <c r="G32" i="19"/>
  <c r="L41" i="19"/>
  <c r="L38" i="19"/>
  <c r="L12" i="19"/>
  <c r="L15" i="19"/>
  <c r="L18" i="19"/>
  <c r="L36" i="19"/>
  <c r="L39" i="19"/>
  <c r="L24" i="19"/>
  <c r="L49" i="19"/>
  <c r="L51" i="19"/>
  <c r="L28" i="19"/>
  <c r="L29" i="19"/>
  <c r="L54" i="19"/>
  <c r="L25" i="19"/>
  <c r="L50" i="19"/>
  <c r="L52" i="19"/>
  <c r="L53" i="19"/>
  <c r="L55" i="19"/>
  <c r="L48" i="19"/>
  <c r="L26" i="19"/>
  <c r="L27" i="19"/>
  <c r="L30" i="19"/>
  <c r="L31" i="19"/>
  <c r="L20" i="19"/>
  <c r="L44" i="19"/>
  <c r="L9" i="19"/>
  <c r="L33" i="19"/>
  <c r="L10" i="19"/>
  <c r="L34" i="19"/>
  <c r="L46" i="19"/>
  <c r="L43" i="19"/>
  <c r="L32" i="19"/>
  <c r="L8" i="19"/>
  <c r="L21" i="19"/>
  <c r="L45" i="19"/>
  <c r="L22" i="19"/>
  <c r="L11" i="19"/>
  <c r="L23" i="19"/>
  <c r="L35" i="19"/>
  <c r="L47" i="19"/>
  <c r="G7" i="19" l="1"/>
  <c r="L7" i="19"/>
  <c r="E29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K29" i="31"/>
  <c r="K31" i="31"/>
  <c r="K32" i="31"/>
  <c r="K33" i="31"/>
  <c r="K34" i="31"/>
  <c r="K35" i="31"/>
  <c r="K36" i="31"/>
  <c r="K37" i="31"/>
  <c r="K38" i="31"/>
  <c r="K39" i="31"/>
  <c r="K40" i="31"/>
  <c r="K41" i="31"/>
  <c r="K42" i="31"/>
  <c r="K43" i="31"/>
  <c r="D7" i="18" l="1"/>
  <c r="E11" i="18" s="1"/>
  <c r="C7" i="18"/>
  <c r="E7" i="14"/>
  <c r="D7" i="14"/>
  <c r="E19" i="3"/>
  <c r="E20" i="3"/>
  <c r="E21" i="3"/>
  <c r="E22" i="3"/>
  <c r="E25" i="3"/>
  <c r="E18" i="3"/>
  <c r="E16" i="3"/>
  <c r="E15" i="3"/>
  <c r="E14" i="3"/>
  <c r="E13" i="3"/>
  <c r="E12" i="3"/>
  <c r="E11" i="3"/>
  <c r="E10" i="3" l="1"/>
  <c r="E9" i="18"/>
  <c r="E10" i="18"/>
  <c r="E7" i="31"/>
  <c r="B7" i="31"/>
  <c r="K7" i="31"/>
  <c r="H7" i="31"/>
  <c r="K28" i="31" s="1"/>
  <c r="D8" i="31" l="1"/>
  <c r="D10" i="31"/>
  <c r="D16" i="31"/>
  <c r="D22" i="31"/>
  <c r="D17" i="31"/>
  <c r="D11" i="31"/>
  <c r="D12" i="31"/>
  <c r="D18" i="31"/>
  <c r="D13" i="31"/>
  <c r="D19" i="31"/>
  <c r="D14" i="31"/>
  <c r="D20" i="31"/>
  <c r="D15" i="31"/>
  <c r="D21" i="31"/>
  <c r="E28" i="31"/>
  <c r="J20" i="31"/>
  <c r="J8" i="31"/>
  <c r="J13" i="31"/>
  <c r="J16" i="31"/>
  <c r="J19" i="31"/>
  <c r="J21" i="31"/>
  <c r="J11" i="31"/>
  <c r="J12" i="31"/>
  <c r="J14" i="31"/>
  <c r="J15" i="31"/>
  <c r="J17" i="31"/>
  <c r="J22" i="31"/>
  <c r="J10" i="31"/>
  <c r="J18" i="31"/>
  <c r="M10" i="31"/>
  <c r="M16" i="31"/>
  <c r="M21" i="31"/>
  <c r="M22" i="31"/>
  <c r="M8" i="31"/>
  <c r="M11" i="31"/>
  <c r="M14" i="31"/>
  <c r="M15" i="31"/>
  <c r="M17" i="31"/>
  <c r="M18" i="31"/>
  <c r="M20" i="31"/>
  <c r="M12" i="31"/>
  <c r="M13" i="31"/>
  <c r="M19" i="31"/>
  <c r="G10" i="31"/>
  <c r="G13" i="31"/>
  <c r="G18" i="31"/>
  <c r="G19" i="31"/>
  <c r="G22" i="31"/>
  <c r="G12" i="31"/>
  <c r="G15" i="31"/>
  <c r="G17" i="31"/>
  <c r="G20" i="31"/>
  <c r="G11" i="31"/>
  <c r="G14" i="31"/>
  <c r="G16" i="31"/>
  <c r="G21" i="31"/>
  <c r="G8" i="31"/>
  <c r="E7" i="18"/>
  <c r="E13" i="2"/>
  <c r="J7" i="31" l="1"/>
  <c r="M7" i="31"/>
  <c r="D7" i="31"/>
  <c r="G7" i="31"/>
  <c r="C4" i="10"/>
  <c r="D4" i="10"/>
  <c r="H16" i="30" l="1"/>
  <c r="H15" i="30"/>
  <c r="H13" i="30"/>
  <c r="I9" i="30"/>
  <c r="H9" i="30"/>
  <c r="I8" i="30"/>
  <c r="H7" i="30"/>
  <c r="I7" i="30" l="1"/>
  <c r="D7" i="11"/>
  <c r="E22" i="11" s="1"/>
  <c r="E16" i="11" l="1"/>
  <c r="E73" i="11"/>
  <c r="E9" i="11"/>
  <c r="E27" i="11"/>
  <c r="E69" i="11"/>
  <c r="E20" i="11"/>
  <c r="E15" i="11"/>
  <c r="E67" i="11"/>
  <c r="E74" i="11"/>
  <c r="E41" i="11"/>
  <c r="E66" i="11"/>
  <c r="E26" i="11"/>
  <c r="E65" i="11"/>
  <c r="E8" i="11"/>
  <c r="E64" i="11"/>
  <c r="E17" i="11"/>
  <c r="E55" i="11"/>
  <c r="E62" i="11"/>
  <c r="E54" i="11"/>
  <c r="E72" i="11"/>
  <c r="E29" i="11"/>
  <c r="E43" i="11"/>
  <c r="E70" i="11"/>
  <c r="E59" i="11"/>
  <c r="E68" i="11"/>
  <c r="E34" i="11"/>
  <c r="E28" i="11"/>
  <c r="E44" i="11"/>
  <c r="E21" i="11"/>
  <c r="E56" i="11"/>
  <c r="E46" i="11"/>
  <c r="E61" i="11"/>
  <c r="E48" i="11"/>
  <c r="E53" i="11"/>
  <c r="E24" i="11"/>
  <c r="E19" i="11"/>
  <c r="E71" i="11"/>
  <c r="E25" i="11"/>
  <c r="E42" i="11"/>
  <c r="E49" i="11"/>
  <c r="E39" i="11"/>
  <c r="E45" i="11"/>
  <c r="E14" i="11"/>
  <c r="E47" i="11"/>
  <c r="E36" i="11"/>
  <c r="E18" i="11"/>
  <c r="E57" i="11"/>
  <c r="E30" i="11"/>
  <c r="E23" i="11"/>
  <c r="E10" i="11"/>
  <c r="E33" i="11"/>
  <c r="E11" i="11"/>
  <c r="E38" i="11"/>
  <c r="E31" i="11"/>
  <c r="E58" i="11"/>
  <c r="E52" i="11"/>
  <c r="E32" i="11"/>
  <c r="E63" i="11"/>
  <c r="E51" i="11"/>
  <c r="E13" i="11"/>
  <c r="E35" i="11"/>
  <c r="E12" i="11"/>
  <c r="E50" i="11"/>
  <c r="E60" i="11"/>
  <c r="E37" i="11"/>
  <c r="E40" i="11"/>
  <c r="K8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7" i="8"/>
  <c r="K6" i="8" s="1"/>
  <c r="C8" i="8"/>
  <c r="C6" i="8" s="1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D7" i="6"/>
  <c r="C7" i="6"/>
  <c r="D6" i="27"/>
  <c r="E38" i="27" s="1"/>
  <c r="C6" i="27"/>
  <c r="H6" i="27" s="1"/>
  <c r="E14" i="6" l="1"/>
  <c r="E26" i="6"/>
  <c r="E25" i="27"/>
  <c r="E68" i="27"/>
  <c r="E60" i="27"/>
  <c r="E26" i="27"/>
  <c r="E45" i="27"/>
  <c r="E33" i="27"/>
  <c r="E7" i="11"/>
  <c r="E83" i="27"/>
  <c r="E54" i="27"/>
  <c r="E12" i="27"/>
  <c r="E40" i="27"/>
  <c r="E46" i="27"/>
  <c r="E29" i="27"/>
  <c r="E19" i="27"/>
  <c r="E8" i="6"/>
  <c r="E90" i="27"/>
  <c r="E8" i="27"/>
  <c r="E21" i="27"/>
  <c r="E9" i="27"/>
  <c r="E37" i="27"/>
  <c r="E59" i="27"/>
  <c r="E87" i="27"/>
  <c r="E109" i="27"/>
  <c r="E64" i="27"/>
  <c r="E13" i="27"/>
  <c r="E77" i="27"/>
  <c r="E95" i="27"/>
  <c r="E65" i="27"/>
  <c r="E66" i="27"/>
  <c r="E48" i="27"/>
  <c r="E39" i="27"/>
  <c r="F6" i="27"/>
  <c r="F7" i="6"/>
  <c r="E24" i="6"/>
  <c r="E18" i="6"/>
  <c r="E12" i="6"/>
  <c r="E88" i="27"/>
  <c r="E82" i="27"/>
  <c r="E24" i="27"/>
  <c r="E110" i="27"/>
  <c r="E17" i="27"/>
  <c r="E96" i="27"/>
  <c r="E62" i="27"/>
  <c r="E56" i="27"/>
  <c r="E57" i="27"/>
  <c r="E102" i="27"/>
  <c r="E49" i="27"/>
  <c r="E22" i="6"/>
  <c r="E16" i="6"/>
  <c r="E10" i="6"/>
  <c r="E93" i="27"/>
  <c r="E84" i="27"/>
  <c r="E81" i="27"/>
  <c r="E28" i="27"/>
  <c r="E18" i="27"/>
  <c r="E42" i="27"/>
  <c r="E107" i="27"/>
  <c r="E14" i="27"/>
  <c r="E16" i="27"/>
  <c r="E52" i="27"/>
  <c r="E101" i="27"/>
  <c r="E20" i="6"/>
  <c r="E67" i="27"/>
  <c r="E53" i="27"/>
  <c r="E92" i="27"/>
  <c r="E63" i="27"/>
  <c r="E35" i="27"/>
  <c r="E20" i="27"/>
  <c r="E106" i="27"/>
  <c r="E98" i="27"/>
  <c r="E50" i="27"/>
  <c r="E80" i="27"/>
  <c r="E78" i="27"/>
  <c r="E34" i="27"/>
  <c r="E86" i="27"/>
  <c r="E108" i="27"/>
  <c r="E55" i="27"/>
  <c r="E10" i="27"/>
  <c r="E31" i="27"/>
  <c r="E91" i="27"/>
  <c r="I6" i="27"/>
  <c r="E72" i="27"/>
  <c r="E27" i="27"/>
  <c r="E58" i="27"/>
  <c r="E22" i="27"/>
  <c r="E97" i="27"/>
  <c r="E105" i="27"/>
  <c r="E104" i="27"/>
  <c r="E103" i="27"/>
  <c r="E43" i="27"/>
  <c r="E71" i="27"/>
  <c r="E32" i="27"/>
  <c r="E41" i="27"/>
  <c r="E76" i="27"/>
  <c r="E79" i="27"/>
  <c r="E85" i="27"/>
  <c r="E36" i="27"/>
  <c r="E30" i="27"/>
  <c r="E100" i="27"/>
  <c r="E70" i="27"/>
  <c r="E94" i="27"/>
  <c r="E7" i="27"/>
  <c r="E44" i="27"/>
  <c r="E51" i="27"/>
  <c r="E23" i="27"/>
  <c r="E74" i="27"/>
  <c r="E61" i="27"/>
  <c r="E99" i="27"/>
  <c r="E69" i="27"/>
  <c r="E73" i="27"/>
  <c r="E89" i="27"/>
  <c r="E11" i="27"/>
  <c r="E47" i="27"/>
  <c r="E75" i="27"/>
  <c r="E15" i="27"/>
  <c r="E6" i="27" l="1"/>
  <c r="D5" i="22"/>
  <c r="D5" i="18"/>
  <c r="C5" i="18"/>
  <c r="D15" i="16"/>
  <c r="C15" i="16"/>
  <c r="D5" i="16"/>
  <c r="C5" i="16"/>
  <c r="D5" i="11"/>
  <c r="C5" i="11"/>
  <c r="D5" i="7"/>
  <c r="C5" i="7"/>
  <c r="D5" i="13"/>
  <c r="C5" i="13"/>
  <c r="D5" i="21"/>
  <c r="C5" i="21"/>
  <c r="D5" i="6"/>
  <c r="C5" i="6"/>
  <c r="D4" i="27"/>
  <c r="C4" i="27"/>
  <c r="D5" i="3"/>
  <c r="C5" i="3"/>
  <c r="D4" i="26" l="1"/>
  <c r="E13" i="21" l="1"/>
  <c r="E10" i="21"/>
  <c r="E11" i="21"/>
  <c r="E12" i="21"/>
  <c r="E9" i="21"/>
  <c r="E15" i="2"/>
  <c r="C7" i="14"/>
  <c r="C8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D17" i="16"/>
  <c r="F17" i="16" s="1"/>
  <c r="C17" i="16"/>
  <c r="S30" i="26"/>
  <c r="S29" i="26"/>
  <c r="S28" i="26"/>
  <c r="S27" i="26"/>
  <c r="S26" i="26"/>
  <c r="S25" i="26"/>
  <c r="S24" i="26"/>
  <c r="S23" i="26"/>
  <c r="S22" i="26"/>
  <c r="S21" i="26"/>
  <c r="S20" i="26"/>
  <c r="O30" i="26"/>
  <c r="O29" i="26"/>
  <c r="O28" i="26"/>
  <c r="O27" i="26"/>
  <c r="O26" i="26"/>
  <c r="O25" i="26"/>
  <c r="O24" i="26"/>
  <c r="O23" i="26"/>
  <c r="O22" i="26"/>
  <c r="O21" i="26"/>
  <c r="O20" i="26"/>
  <c r="K30" i="26"/>
  <c r="K29" i="26"/>
  <c r="K28" i="26"/>
  <c r="K27" i="26"/>
  <c r="K26" i="26"/>
  <c r="K25" i="26"/>
  <c r="K24" i="26"/>
  <c r="K23" i="26"/>
  <c r="K22" i="26"/>
  <c r="K21" i="26"/>
  <c r="K20" i="26"/>
  <c r="G30" i="26"/>
  <c r="G29" i="26"/>
  <c r="G28" i="26"/>
  <c r="G27" i="26"/>
  <c r="G26" i="26"/>
  <c r="G25" i="26"/>
  <c r="G24" i="26"/>
  <c r="G23" i="26"/>
  <c r="G22" i="26"/>
  <c r="G21" i="26"/>
  <c r="G18" i="26"/>
  <c r="G20" i="26"/>
  <c r="S18" i="26"/>
  <c r="S17" i="26"/>
  <c r="S16" i="26"/>
  <c r="S15" i="26"/>
  <c r="S14" i="26"/>
  <c r="S13" i="26"/>
  <c r="S12" i="26"/>
  <c r="S11" i="26"/>
  <c r="S10" i="26"/>
  <c r="S9" i="26"/>
  <c r="S8" i="26"/>
  <c r="S7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K18" i="26"/>
  <c r="K17" i="26"/>
  <c r="K16" i="26"/>
  <c r="K15" i="26"/>
  <c r="K14" i="26"/>
  <c r="K13" i="26"/>
  <c r="K12" i="26"/>
  <c r="K11" i="26"/>
  <c r="K10" i="26"/>
  <c r="K9" i="26"/>
  <c r="K8" i="26"/>
  <c r="K7" i="26"/>
  <c r="G8" i="26"/>
  <c r="G9" i="26"/>
  <c r="G10" i="26"/>
  <c r="G11" i="26"/>
  <c r="G12" i="26"/>
  <c r="G13" i="26"/>
  <c r="G14" i="26"/>
  <c r="G15" i="26"/>
  <c r="G16" i="26"/>
  <c r="G17" i="26"/>
  <c r="G7" i="26"/>
  <c r="F8" i="14" l="1"/>
  <c r="E23" i="16"/>
  <c r="E21" i="16"/>
  <c r="E22" i="16"/>
  <c r="E19" i="16"/>
  <c r="E24" i="16"/>
  <c r="E20" i="16"/>
  <c r="E10" i="16"/>
  <c r="E9" i="16"/>
  <c r="E7" i="16" s="1"/>
  <c r="E11" i="16"/>
  <c r="F9" i="14"/>
  <c r="F33" i="14"/>
  <c r="F10" i="14"/>
  <c r="F34" i="14"/>
  <c r="F11" i="14"/>
  <c r="F35" i="14"/>
  <c r="F12" i="14"/>
  <c r="F36" i="14"/>
  <c r="F13" i="14"/>
  <c r="F37" i="14"/>
  <c r="F14" i="14"/>
  <c r="F38" i="14"/>
  <c r="F15" i="14"/>
  <c r="F39" i="14"/>
  <c r="F16" i="14"/>
  <c r="F40" i="14"/>
  <c r="F17" i="14"/>
  <c r="F41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H21" i="8"/>
  <c r="H18" i="8"/>
  <c r="H22" i="8"/>
  <c r="H10" i="8"/>
  <c r="H14" i="8"/>
  <c r="H16" i="8"/>
  <c r="H23" i="8"/>
  <c r="H12" i="8"/>
  <c r="H13" i="8"/>
  <c r="H15" i="8"/>
  <c r="H19" i="8"/>
  <c r="H7" i="8"/>
  <c r="H8" i="8"/>
  <c r="H17" i="8"/>
  <c r="H20" i="8"/>
  <c r="H11" i="8"/>
  <c r="E10" i="2"/>
  <c r="D7" i="7"/>
  <c r="E15" i="7" s="1"/>
  <c r="E9" i="2"/>
  <c r="T21" i="29"/>
  <c r="E21" i="29"/>
  <c r="D21" i="29"/>
  <c r="Z20" i="29"/>
  <c r="Y20" i="29"/>
  <c r="Y6" i="29" s="1"/>
  <c r="W20" i="29"/>
  <c r="W6" i="29" s="1"/>
  <c r="V20" i="29"/>
  <c r="V6" i="29" s="1"/>
  <c r="T20" i="29"/>
  <c r="S20" i="29"/>
  <c r="S6" i="29" s="1"/>
  <c r="Q20" i="29"/>
  <c r="Q6" i="29" s="1"/>
  <c r="P20" i="29"/>
  <c r="P6" i="29" s="1"/>
  <c r="N20" i="29"/>
  <c r="N6" i="29" s="1"/>
  <c r="M20" i="29"/>
  <c r="K20" i="29"/>
  <c r="K6" i="29" s="1"/>
  <c r="J20" i="29"/>
  <c r="J6" i="29" s="1"/>
  <c r="H20" i="29"/>
  <c r="G20" i="29"/>
  <c r="G6" i="29" s="1"/>
  <c r="E20" i="29"/>
  <c r="D20" i="29"/>
  <c r="E6" i="29" l="1"/>
  <c r="H6" i="8"/>
  <c r="E17" i="16"/>
  <c r="D6" i="29"/>
  <c r="E9" i="7"/>
  <c r="E13" i="7"/>
  <c r="E10" i="7"/>
  <c r="E12" i="7"/>
  <c r="E11" i="7"/>
  <c r="F7" i="14"/>
  <c r="E7" i="6"/>
  <c r="M6" i="29"/>
  <c r="H6" i="29"/>
  <c r="Z6" i="29"/>
  <c r="T6" i="29"/>
  <c r="E22" i="7"/>
  <c r="E16" i="7"/>
  <c r="E19" i="7"/>
  <c r="E21" i="7"/>
  <c r="E20" i="7"/>
  <c r="E24" i="7"/>
  <c r="E18" i="7"/>
  <c r="E23" i="7"/>
  <c r="E17" i="7"/>
  <c r="E14" i="7" l="1"/>
  <c r="E7" i="7"/>
</calcChain>
</file>

<file path=xl/sharedStrings.xml><?xml version="1.0" encoding="utf-8"?>
<sst xmlns="http://schemas.openxmlformats.org/spreadsheetml/2006/main" count="1100" uniqueCount="575">
  <si>
    <t>Yo'q</t>
  </si>
  <si>
    <t>4.1</t>
  </si>
  <si>
    <t>5</t>
  </si>
  <si>
    <t>1.1</t>
  </si>
  <si>
    <t>1.2</t>
  </si>
  <si>
    <t>1.3</t>
  </si>
  <si>
    <t>2</t>
  </si>
  <si>
    <t>2.1</t>
  </si>
  <si>
    <t>3</t>
  </si>
  <si>
    <t>BPO / autsorsing</t>
  </si>
  <si>
    <t>GameDev / Mobil / Sun'iy intellekt / FinTech</t>
  </si>
  <si>
    <t>2.2</t>
  </si>
  <si>
    <t>2.3</t>
  </si>
  <si>
    <t>2.4</t>
  </si>
  <si>
    <t>4</t>
  </si>
  <si>
    <t>3.1</t>
  </si>
  <si>
    <t>1</t>
  </si>
  <si>
    <t>6</t>
  </si>
  <si>
    <t>7</t>
  </si>
  <si>
    <t>8</t>
  </si>
  <si>
    <t>9</t>
  </si>
  <si>
    <t>10</t>
  </si>
  <si>
    <t>2.5</t>
  </si>
  <si>
    <t>2.6</t>
  </si>
  <si>
    <t>2.7</t>
  </si>
  <si>
    <t>2.8</t>
  </si>
  <si>
    <t>2.9</t>
  </si>
  <si>
    <t>2.10</t>
  </si>
  <si>
    <t>IT Park</t>
  </si>
  <si>
    <t>1.4</t>
  </si>
  <si>
    <t>1.5</t>
  </si>
  <si>
    <t>--</t>
  </si>
  <si>
    <t>1.6</t>
  </si>
  <si>
    <t>X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</si>
  <si>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</si>
  <si>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</si>
  <si>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</si>
  <si>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</si>
  <si>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</si>
  <si>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</si>
  <si>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</si>
  <si>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</si>
  <si>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</si>
  <si>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</si>
  <si>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</si>
  <si>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</si>
  <si>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</si>
  <si>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</si>
  <si>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</si>
  <si>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</si>
  <si>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</si>
  <si>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</si>
  <si>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</si>
  <si>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</si>
  <si>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</si>
  <si>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</si>
  <si>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</si>
  <si>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</si>
  <si>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</si>
  <si>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</si>
  <si>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</si>
  <si>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</si>
  <si>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</si>
  <si>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</si>
  <si>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</si>
  <si>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</si>
  <si>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</si>
  <si>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</si>
  <si>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</si>
  <si>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</si>
  <si>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</si>
  <si>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</si>
  <si>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</si>
  <si>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</si>
  <si>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</si>
  <si>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</si>
  <si>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</si>
  <si>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%</t>
  </si>
  <si>
    <t>(KPI)</t>
  </si>
  <si>
    <t>15.1</t>
  </si>
  <si>
    <t>Jadval nomlari</t>
  </si>
  <si>
    <t>3.2</t>
  </si>
  <si>
    <t>3.3</t>
  </si>
  <si>
    <t>3.4</t>
  </si>
  <si>
    <t>7.1</t>
  </si>
  <si>
    <t>8.1</t>
  </si>
  <si>
    <t>9.1</t>
  </si>
  <si>
    <t>Rezident</t>
  </si>
  <si>
    <t>Ходимлар сони</t>
  </si>
  <si>
    <t>Жиззах вилояти</t>
  </si>
  <si>
    <t>Сирдарё вилояти</t>
  </si>
  <si>
    <t>6.1</t>
  </si>
  <si>
    <t>Startap</t>
  </si>
  <si>
    <t>№</t>
  </si>
  <si>
    <t>HQ</t>
  </si>
  <si>
    <t>IT trening</t>
  </si>
  <si>
    <t>BPO</t>
  </si>
  <si>
    <t>5.17</t>
  </si>
  <si>
    <t>х</t>
  </si>
  <si>
    <t>5-жадвал</t>
  </si>
  <si>
    <t>2025 йилларга мўлжалланган инвестицияларни ўзлаштириш кўрсаткичлари</t>
  </si>
  <si>
    <t>Т/р</t>
  </si>
  <si>
    <t>Лойиҳа умумий қиймати</t>
  </si>
  <si>
    <t>режа</t>
  </si>
  <si>
    <t>амалда</t>
  </si>
  <si>
    <t>бажари-лиши</t>
  </si>
  <si>
    <t>Расмий статистика</t>
  </si>
  <si>
    <r>
      <rPr>
        <b/>
        <sz val="13"/>
        <color rgb="FFC00000"/>
        <rFont val="Arial"/>
        <family val="2"/>
        <charset val="204"/>
      </rPr>
      <t>2026</t>
    </r>
    <r>
      <rPr>
        <b/>
        <sz val="13"/>
        <color indexed="8"/>
        <rFont val="Arial"/>
        <family val="2"/>
        <charset val="204"/>
      </rPr>
      <t xml:space="preserve"> </t>
    </r>
    <r>
      <rPr>
        <b/>
        <sz val="13"/>
        <color theme="4"/>
        <rFont val="Arial"/>
        <family val="2"/>
        <charset val="204"/>
      </rPr>
      <t>йилга таклиф</t>
    </r>
  </si>
  <si>
    <t>бажарилиши</t>
  </si>
  <si>
    <t>Жами ўзлаштирилган инвестициялар</t>
  </si>
  <si>
    <t>1.1.</t>
  </si>
  <si>
    <t>ўз маблағлари</t>
  </si>
  <si>
    <t>1.2.</t>
  </si>
  <si>
    <t>тўғридан-тўғри хорижий инвестиция ва кредит</t>
  </si>
  <si>
    <t>шу жумладан:</t>
  </si>
  <si>
    <t>IT Park мажмуасининг 2-босқичини қуриш</t>
  </si>
  <si>
    <t>IT Park резидентлари томонидан</t>
  </si>
  <si>
    <t>тўғридан-тўғри хорижий инвестисия ва кредит</t>
  </si>
  <si>
    <t>Ўзбекистонда рақамли инклюзивлик</t>
  </si>
  <si>
    <t>Давлат кафолати остидаги хорижий кредит</t>
  </si>
  <si>
    <t>“Shanghai Construction Group” (Хитой) компанияси  “fast track” услубида IT Park биноларини қуриш</t>
  </si>
  <si>
    <r>
      <rPr>
        <b/>
        <sz val="13"/>
        <color rgb="FFC00000"/>
        <rFont val="Arial"/>
        <family val="2"/>
        <charset val="204"/>
      </rPr>
      <t>Стартап</t>
    </r>
    <r>
      <rPr>
        <b/>
        <sz val="13"/>
        <color theme="1"/>
        <rFont val="Arial"/>
        <family val="2"/>
        <charset val="204"/>
      </rPr>
      <t xml:space="preserve"> лойиҳаларга </t>
    </r>
    <r>
      <rPr>
        <b/>
        <sz val="13"/>
        <color theme="4"/>
        <rFont val="Arial"/>
        <family val="2"/>
        <charset val="204"/>
      </rPr>
      <t xml:space="preserve">венчур </t>
    </r>
    <r>
      <rPr>
        <b/>
        <sz val="13"/>
        <color theme="1"/>
        <rFont val="Arial"/>
        <family val="2"/>
        <charset val="204"/>
      </rPr>
      <t>инвестициялар</t>
    </r>
  </si>
  <si>
    <t>ИТ Парк резидентлари</t>
  </si>
  <si>
    <t>шундан худудларда</t>
  </si>
  <si>
    <t>ИТ Паркнинг хорижий резидентлари</t>
  </si>
  <si>
    <t>Резидентлар томонидан кўрсатилган хизматлар хажми</t>
  </si>
  <si>
    <t>Резидентлар томонидан ИТ хизматларини експорт қилиш</t>
  </si>
  <si>
    <t>1-жадвал</t>
  </si>
  <si>
    <t>Мақсадлар номи</t>
  </si>
  <si>
    <t>Ўлчов бирлиги</t>
  </si>
  <si>
    <t>Январ-март</t>
  </si>
  <si>
    <t>Амалда</t>
  </si>
  <si>
    <t>Фарқи 
+ / -</t>
  </si>
  <si>
    <t>Бажарилиш, % да</t>
  </si>
  <si>
    <t>Дастурда иштирокчилар сони "Рақамли стартаплар»</t>
  </si>
  <si>
    <t>Стартапларга инвеститсиялар хажми (махаллий)</t>
  </si>
  <si>
    <t>Венчур молиялаштириш орқали стартап лойихаларига инвеститсияларни жалб қилиш (халқаро)</t>
  </si>
  <si>
    <t>Бозор капиталлашуви 50 миллион АҚШ доллардан ортиқ бо‘лган стартапларни яратиш</t>
  </si>
  <si>
    <t>Бозор капиталлашуви 5 миллион АҚШ доллардан ортиқ бо‘лган стартапларни яратиш</t>
  </si>
  <si>
    <t>ИТ Парк Узбекистан инкубатсия ва акселератсия дастурларига киритилган стартап-лойихалар сонини 2 мингтага йетказиш</t>
  </si>
  <si>
    <t>рейтингдаги ўзгариш</t>
  </si>
  <si>
    <t>Қурилиб, фойдаланишга топшириладиган ИТ-паркларнинг тўлақонли минтақавий филиаллари сони</t>
  </si>
  <si>
    <t>миқдор</t>
  </si>
  <si>
    <t>минг АҚШ доллар</t>
  </si>
  <si>
    <t>млн. АҚШ доллар</t>
  </si>
  <si>
    <t>трлн. сўм</t>
  </si>
  <si>
    <t>шундан:</t>
  </si>
  <si>
    <t>шу жумладан, тўғридан-тўғри хорижий инвеститсиялар</t>
  </si>
  <si>
    <t>Резидентлар сони</t>
  </si>
  <si>
    <t>шу жумладан хорижий</t>
  </si>
  <si>
    <t>1 йилдан кам, %</t>
  </si>
  <si>
    <t>3 йилдан ортиқ, %</t>
  </si>
  <si>
    <t>Резидентлар ходимлари сони</t>
  </si>
  <si>
    <t>Кўрсаткич номи</t>
  </si>
  <si>
    <t>2024-йил</t>
  </si>
  <si>
    <t>2025-йил</t>
  </si>
  <si>
    <t>Улуши</t>
  </si>
  <si>
    <t>2-жадвал</t>
  </si>
  <si>
    <t>3-жадвал</t>
  </si>
  <si>
    <t>кутилайотган ко‘рсаткичлар</t>
  </si>
  <si>
    <t>Осийо-Тинч океани минтақаси</t>
  </si>
  <si>
    <t>Шимолий Америка</t>
  </si>
  <si>
    <t>Яқин Шарқ</t>
  </si>
  <si>
    <t>МДХ</t>
  </si>
  <si>
    <t>Хамкор мамлакатлар сони</t>
  </si>
  <si>
    <t>3.1-жадвал</t>
  </si>
  <si>
    <t>Австралия</t>
  </si>
  <si>
    <t>Австрия</t>
  </si>
  <si>
    <t>Озарбайжон</t>
  </si>
  <si>
    <t>Албания</t>
  </si>
  <si>
    <t>Америка Самоаси</t>
  </si>
  <si>
    <t>Арманистон</t>
  </si>
  <si>
    <t>Беларус</t>
  </si>
  <si>
    <t>Белгия</t>
  </si>
  <si>
    <t>Болгария</t>
  </si>
  <si>
    <t>Боливия (кўп миллатли давлат)</t>
  </si>
  <si>
    <t>Бразилия</t>
  </si>
  <si>
    <t>Британия Виржиния ороллари</t>
  </si>
  <si>
    <t>Бирлашган Қироллик</t>
  </si>
  <si>
    <t>Венгрия</t>
  </si>
  <si>
    <t>Ветнам</t>
  </si>
  <si>
    <t>Гватемала</t>
  </si>
  <si>
    <t>Германия</t>
  </si>
  <si>
    <t>Гондурас</t>
  </si>
  <si>
    <t>Гонконг</t>
  </si>
  <si>
    <t>Гретсия</t>
  </si>
  <si>
    <t>Грузия</t>
  </si>
  <si>
    <t>Доминика Республикаси</t>
  </si>
  <si>
    <t>Исроил</t>
  </si>
  <si>
    <t>Хиндистон</t>
  </si>
  <si>
    <t>Индонезия</t>
  </si>
  <si>
    <t>Иордания</t>
  </si>
  <si>
    <t>Ирландия</t>
  </si>
  <si>
    <t>Испания</t>
  </si>
  <si>
    <t>Италия</t>
  </si>
  <si>
    <t>Қозоғистон</t>
  </si>
  <si>
    <t>Камбоджа</t>
  </si>
  <si>
    <t>Канада</t>
  </si>
  <si>
    <t>Қатар</t>
  </si>
  <si>
    <t>Кения</t>
  </si>
  <si>
    <t>Кипр</t>
  </si>
  <si>
    <t>Хитой</t>
  </si>
  <si>
    <t>Корея</t>
  </si>
  <si>
    <t xml:space="preserve">Кот-д'Ивуар
</t>
  </si>
  <si>
    <t>Қувайт</t>
  </si>
  <si>
    <t>Қирғизистон</t>
  </si>
  <si>
    <t>Латвия</t>
  </si>
  <si>
    <t>Литва</t>
  </si>
  <si>
    <t>Люксембург</t>
  </si>
  <si>
    <t>Малайзия</t>
  </si>
  <si>
    <t>Малта</t>
  </si>
  <si>
    <t>Мексика</t>
  </si>
  <si>
    <t>Молдова</t>
  </si>
  <si>
    <t>Монако</t>
  </si>
  <si>
    <t>Мўғулистон</t>
  </si>
  <si>
    <t>Нигер</t>
  </si>
  <si>
    <t>Нигерия</t>
  </si>
  <si>
    <t>Нидерландия</t>
  </si>
  <si>
    <t>Янги Зеландия</t>
  </si>
  <si>
    <t>Норвегия</t>
  </si>
  <si>
    <t>БАА</t>
  </si>
  <si>
    <t>Уммон</t>
  </si>
  <si>
    <t>Панама</t>
  </si>
  <si>
    <t>Полша</t>
  </si>
  <si>
    <t>Португалия</t>
  </si>
  <si>
    <t>Россия</t>
  </si>
  <si>
    <t>Руминия</t>
  </si>
  <si>
    <t>Саудия Арабистони</t>
  </si>
  <si>
    <t>Сент-Винсент ва Гренадинлар</t>
  </si>
  <si>
    <t>Сербия</t>
  </si>
  <si>
    <t>Сингапур</t>
  </si>
  <si>
    <t>Словакия</t>
  </si>
  <si>
    <t>Словения</t>
  </si>
  <si>
    <t>АҚШ</t>
  </si>
  <si>
    <t>Тожикистон</t>
  </si>
  <si>
    <t>Таиланд</t>
  </si>
  <si>
    <t>Тайван</t>
  </si>
  <si>
    <t>Туркманистон</t>
  </si>
  <si>
    <t>Туркия</t>
  </si>
  <si>
    <t>Уганда</t>
  </si>
  <si>
    <t>Украина</t>
  </si>
  <si>
    <t>Филиппинлар</t>
  </si>
  <si>
    <t>Финляндия</t>
  </si>
  <si>
    <t>Франсия</t>
  </si>
  <si>
    <t>Хорватия</t>
  </si>
  <si>
    <t>Черногория</t>
  </si>
  <si>
    <t>Чех Республикаси</t>
  </si>
  <si>
    <t>Швейтсария</t>
  </si>
  <si>
    <t>Шветсия</t>
  </si>
  <si>
    <t>Шри-Ланка</t>
  </si>
  <si>
    <t>Естония</t>
  </si>
  <si>
    <t>Жанубий Африка</t>
  </si>
  <si>
    <t>Япония</t>
  </si>
  <si>
    <t>Ангиля</t>
  </si>
  <si>
    <t>Кайман ороллари</t>
  </si>
  <si>
    <t>Дания</t>
  </si>
  <si>
    <t>Гибралтар</t>
  </si>
  <si>
    <t>Лихтенштейн</t>
  </si>
  <si>
    <t>Андорра</t>
  </si>
  <si>
    <t>Гернси</t>
  </si>
  <si>
    <t>Бахрайн</t>
  </si>
  <si>
    <t>Америка Қўшма Штатлари Кичик Ташқи Ороллари</t>
  </si>
  <si>
    <t>Колумбия</t>
  </si>
  <si>
    <t>Афғонистон</t>
  </si>
  <si>
    <t>Покистон</t>
  </si>
  <si>
    <t>Маврикий</t>
  </si>
  <si>
    <t>Малдив ороллари</t>
  </si>
  <si>
    <t>Белиз</t>
  </si>
  <si>
    <t>Тонга</t>
  </si>
  <si>
    <t>Исландия</t>
  </si>
  <si>
    <t>3.2-жадвал</t>
  </si>
  <si>
    <t>Жами</t>
  </si>
  <si>
    <t>3.3-жадвал</t>
  </si>
  <si>
    <t>IT бўйича тренинг</t>
  </si>
  <si>
    <t>3.4-жадвал</t>
  </si>
  <si>
    <t>4-жадвал</t>
  </si>
  <si>
    <t>млрд. сўм</t>
  </si>
  <si>
    <t>Жами хизматлар</t>
  </si>
  <si>
    <t>шу жумладан хизмат турлари бўйича:</t>
  </si>
  <si>
    <t>6-жадвал</t>
  </si>
  <si>
    <t>ЖАМИ</t>
  </si>
  <si>
    <t>ИТ Парк</t>
  </si>
  <si>
    <t>Худудлар</t>
  </si>
  <si>
    <t>Қорақалпогʻистон Республикаси</t>
  </si>
  <si>
    <t>Андижон</t>
  </si>
  <si>
    <t>Бухоро</t>
  </si>
  <si>
    <t>Жиззах</t>
  </si>
  <si>
    <t>Қашқадарйо</t>
  </si>
  <si>
    <t>Навоий</t>
  </si>
  <si>
    <t>Наманган</t>
  </si>
  <si>
    <t>Самарқанд</t>
  </si>
  <si>
    <t>Сурхондарйо</t>
  </si>
  <si>
    <t>Сирдарйо</t>
  </si>
  <si>
    <t xml:space="preserve">Тошкент </t>
  </si>
  <si>
    <t>Фарғона</t>
  </si>
  <si>
    <t>Хоразм</t>
  </si>
  <si>
    <t>Тошкент ш.</t>
  </si>
  <si>
    <t>7-жадвал</t>
  </si>
  <si>
    <t>Жами резидентлар</t>
  </si>
  <si>
    <t>Янги резидентлар (хисобот даврида)</t>
  </si>
  <si>
    <t>Кетган резидентлар (хисобот даврида)</t>
  </si>
  <si>
    <t>Соф ўсиш</t>
  </si>
  <si>
    <t>Венчур фонди</t>
  </si>
  <si>
    <t>Кибер-спорт</t>
  </si>
  <si>
    <t>Маркетплейслар</t>
  </si>
  <si>
    <t>ПАКни амалга ошириш</t>
  </si>
  <si>
    <t>Хостинг</t>
  </si>
  <si>
    <t xml:space="preserve">Экспорт </t>
  </si>
  <si>
    <t>Миср</t>
  </si>
  <si>
    <t>Ерон</t>
  </si>
  <si>
    <t>Канада, Ерон</t>
  </si>
  <si>
    <t>Латвия, Ўзбекистон</t>
  </si>
  <si>
    <t>Литва, Беларус</t>
  </si>
  <si>
    <t>Люксембург, Ўзбекистон</t>
  </si>
  <si>
    <t>Македония</t>
  </si>
  <si>
    <t>Мексика, Индонезия</t>
  </si>
  <si>
    <t>Нидерландия, Ўзбекистон</t>
  </si>
  <si>
    <t>Мен ороли</t>
  </si>
  <si>
    <t>Ўзбекистон</t>
  </si>
  <si>
    <t>Жанубий Корея</t>
  </si>
  <si>
    <t>Мамлакат</t>
  </si>
  <si>
    <t>7.1-жадвал</t>
  </si>
  <si>
    <t>8-жадвал</t>
  </si>
  <si>
    <t>бирлик</t>
  </si>
  <si>
    <t>Қабул қилинган сўровларнинг умумий сони</t>
  </si>
  <si>
    <t>Хуқуқий</t>
  </si>
  <si>
    <t>Банк иши</t>
  </si>
  <si>
    <t>Инфратузилма</t>
  </si>
  <si>
    <t>Мехнат ресурслари бўйича</t>
  </si>
  <si>
    <t>Бошқалар</t>
  </si>
  <si>
    <t>8.1-жадвал</t>
  </si>
  <si>
    <t>9-жадвал</t>
  </si>
  <si>
    <t>компания асосчиларига</t>
  </si>
  <si>
    <t>инвесторларга</t>
  </si>
  <si>
    <t>9.1-жадвал</t>
  </si>
  <si>
    <t>10-жадвал</t>
  </si>
  <si>
    <t>Хорижий улуш</t>
  </si>
  <si>
    <r>
      <t xml:space="preserve">Стартапларни қўллаб-қувватлаш учун ажратилган маблағлар миқдори </t>
    </r>
    <r>
      <rPr>
        <sz val="14"/>
        <color rgb="FFC00000"/>
        <rFont val="Arial"/>
        <family val="2"/>
        <charset val="204"/>
      </rPr>
      <t>(аниқлик киритиш керак)</t>
    </r>
  </si>
  <si>
    <t>Экспортчи резидентлар жами</t>
  </si>
  <si>
    <t>Январ-июнь</t>
  </si>
  <si>
    <t>Январ-сентябрь</t>
  </si>
  <si>
    <t>Январ-декабрь</t>
  </si>
  <si>
    <t>ўрни</t>
  </si>
  <si>
    <r>
      <t xml:space="preserve">Жахон стартап-екотизими индекси
</t>
    </r>
    <r>
      <rPr>
        <b/>
        <sz val="14"/>
        <rFont val="Arial"/>
        <family val="2"/>
        <charset val="204"/>
      </rPr>
      <t>(Global Startup Ecosystem Index)</t>
    </r>
  </si>
  <si>
    <r>
      <t xml:space="preserve">Махаллий стартап-екотизимининг ягона платформасида  </t>
    </r>
    <r>
      <rPr>
        <b/>
        <sz val="14"/>
        <rFont val="Arial"/>
        <family val="2"/>
        <charset val="204"/>
      </rPr>
      <t xml:space="preserve">(startupbase.uz) </t>
    </r>
    <r>
      <rPr>
        <sz val="14"/>
        <rFont val="Arial"/>
        <family val="2"/>
        <charset val="204"/>
      </rPr>
      <t xml:space="preserve"> ро‘йхатдан о‘тган махаллий стартаплар улушини хар йили о‘тказиладиган инкубатсия ва акселератсия дастурлари доирасида </t>
    </r>
    <r>
      <rPr>
        <b/>
        <sz val="14"/>
        <rFont val="Arial"/>
        <family val="2"/>
        <charset val="204"/>
      </rPr>
      <t xml:space="preserve">камида 10 фоиз </t>
    </r>
    <r>
      <rPr>
        <sz val="14"/>
        <rFont val="Arial"/>
        <family val="2"/>
        <charset val="204"/>
      </rPr>
      <t>даражада та’минлаш</t>
    </r>
  </si>
  <si>
    <t>Экспортчи резидентлар (экспорт 50% дан юқори)</t>
  </si>
  <si>
    <r>
      <t>ички бозор,</t>
    </r>
    <r>
      <rPr>
        <i/>
        <sz val="14"/>
        <color rgb="FFC00000"/>
        <rFont val="Arial"/>
        <family val="2"/>
        <charset val="204"/>
      </rPr>
      <t xml:space="preserve"> млрд. сўм</t>
    </r>
  </si>
  <si>
    <t>GameDev / Mobile / AI / FinTech</t>
  </si>
  <si>
    <t>IT хизмати</t>
  </si>
  <si>
    <t>Экспорт географияси</t>
  </si>
  <si>
    <t>Экспортчилар сони</t>
  </si>
  <si>
    <t>IT-Parkнинг экспорт кўрсаткичлари ва тузилиши</t>
  </si>
  <si>
    <t>Экспорт хажмини оширган IT-Park резидентлари</t>
  </si>
  <si>
    <r>
      <t xml:space="preserve">Экспорт хажмини </t>
    </r>
    <r>
      <rPr>
        <b/>
        <sz val="14"/>
        <color rgb="FFC00000"/>
        <rFont val="Arial"/>
        <family val="2"/>
        <charset val="204"/>
      </rPr>
      <t>камайтирган</t>
    </r>
    <r>
      <rPr>
        <b/>
        <sz val="14"/>
        <color theme="8" tint="-0.499984740745262"/>
        <rFont val="Arial"/>
        <family val="2"/>
        <charset val="204"/>
      </rPr>
      <t xml:space="preserve"> IT-Park резидентлари</t>
    </r>
  </si>
  <si>
    <t>Техник ёрдам</t>
  </si>
  <si>
    <r>
      <t xml:space="preserve">Жами
</t>
    </r>
    <r>
      <rPr>
        <sz val="11"/>
        <color theme="1"/>
        <rFont val="Arial"/>
        <family val="2"/>
        <charset val="204"/>
      </rPr>
      <t>(OSS)</t>
    </r>
  </si>
  <si>
    <t>Жами:</t>
  </si>
  <si>
    <t>Қорқўрғон Республикаси</t>
  </si>
  <si>
    <t>Андижон вилояти</t>
  </si>
  <si>
    <t>Бухоро вилояти</t>
  </si>
  <si>
    <t>Қашқадарйо вилояти</t>
  </si>
  <si>
    <t>Навоий вилояти</t>
  </si>
  <si>
    <t>Наманган вилояти</t>
  </si>
  <si>
    <t>Самарқанд вилояти</t>
  </si>
  <si>
    <t>Сурхондарйо вилояти</t>
  </si>
  <si>
    <t>Тошкент вилояти</t>
  </si>
  <si>
    <t>Фарғона вилояти</t>
  </si>
  <si>
    <t>Хоразм вилояти</t>
  </si>
  <si>
    <t>It-park</t>
  </si>
  <si>
    <t>Худудлар бйича жами</t>
  </si>
  <si>
    <t>Экспорт хажмини камайтирган IT-Park резидентлари</t>
  </si>
  <si>
    <t>Мамлакатлар бўйича IT хизматлари экспорти</t>
  </si>
  <si>
    <t>Ўзбекистон Республикаси</t>
  </si>
  <si>
    <t>Қорақалпоғистон Республикаси</t>
  </si>
  <si>
    <t>6.1-жадвал</t>
  </si>
  <si>
    <t>Ўсиш суръати</t>
  </si>
  <si>
    <t>2024 йил</t>
  </si>
  <si>
    <t>2025 йил</t>
  </si>
  <si>
    <t>Алоқа ва ахборотлаштириш (АКТ) хизматлари</t>
  </si>
  <si>
    <t>Ўсиш 
суръати</t>
  </si>
  <si>
    <t>2026
 KPI</t>
  </si>
  <si>
    <t>2025 амалда</t>
  </si>
  <si>
    <t>Ўзгариши</t>
  </si>
  <si>
    <t>Ётоқхонада яшовчи фрилансерлар сони</t>
  </si>
  <si>
    <t>Таълим йўналишидаги резидентлар сони</t>
  </si>
  <si>
    <t>Сунъий интеллект йўналишидаги резидентлар сони</t>
  </si>
  <si>
    <t>Экспорт қилувчи резидентлар сони</t>
  </si>
  <si>
    <t>Экспорт ҳажми 
(минг АҚШ доллари)</t>
  </si>
  <si>
    <t>Хизматлар жами 
(млрд сўм)</t>
  </si>
  <si>
    <t>млн. АҚШ долл.</t>
  </si>
  <si>
    <t>шу жумладан, 
хорижий резидентлар</t>
  </si>
  <si>
    <t>GameDev / Mobil / AI / FinTech</t>
  </si>
  <si>
    <r>
      <t xml:space="preserve">IT-Park резидентлари томонидан кўрсатилган </t>
    </r>
    <r>
      <rPr>
        <b/>
        <sz val="14"/>
        <color rgb="FFC00000"/>
        <rFont val="Arial"/>
        <family val="2"/>
        <charset val="204"/>
      </rPr>
      <t>хизматлар</t>
    </r>
    <r>
      <rPr>
        <b/>
        <sz val="14"/>
        <color rgb="FF002060"/>
        <rFont val="Arial"/>
        <family val="2"/>
        <charset val="204"/>
      </rPr>
      <t xml:space="preserve"> ҳажми</t>
    </r>
  </si>
  <si>
    <r>
      <t xml:space="preserve">2025 йилларга мўлжалланган </t>
    </r>
    <r>
      <rPr>
        <b/>
        <sz val="14"/>
        <color rgb="FFC00000"/>
        <rFont val="Arial"/>
        <family val="2"/>
        <charset val="204"/>
      </rPr>
      <t>инвестицияларни</t>
    </r>
    <r>
      <rPr>
        <b/>
        <sz val="14"/>
        <color rgb="FF002060"/>
        <rFont val="Arial"/>
        <family val="2"/>
        <charset val="204"/>
      </rPr>
      <t xml:space="preserve"> ўзлаштириш кўрсаткичлари</t>
    </r>
  </si>
  <si>
    <t>Лойиҳа ташаббускорлари ва 
лойиҳа номи</t>
  </si>
  <si>
    <t>Резидент-лар сони</t>
  </si>
  <si>
    <r>
      <rPr>
        <b/>
        <sz val="14"/>
        <color rgb="FFC00000"/>
        <rFont val="Arial"/>
        <family val="2"/>
        <charset val="204"/>
      </rPr>
      <t>2025-йил</t>
    </r>
    <r>
      <rPr>
        <b/>
        <sz val="14"/>
        <color rgb="FF002060"/>
        <rFont val="Arial"/>
        <family val="2"/>
        <charset val="204"/>
      </rPr>
      <t xml:space="preserve"> учун вилоятлар кесимида маълумот</t>
    </r>
  </si>
  <si>
    <t>O'tgan yili</t>
  </si>
  <si>
    <t>млн. 
АҚШ долл.</t>
  </si>
  <si>
    <t>IT Park резидентлари тўғрисида маълумот</t>
  </si>
  <si>
    <t>Фаолият йўналиши</t>
  </si>
  <si>
    <t>Резидентлик-дан махрум қилинган</t>
  </si>
  <si>
    <t>IT мутахас-сисларга</t>
  </si>
  <si>
    <t>инвестор-ларга</t>
  </si>
  <si>
    <t>IT park улуши</t>
  </si>
  <si>
    <r>
      <t xml:space="preserve">Жами даромад,
</t>
    </r>
    <r>
      <rPr>
        <b/>
        <i/>
        <sz val="14"/>
        <color rgb="FFC00000"/>
        <rFont val="Arial"/>
        <family val="2"/>
        <charset val="204"/>
      </rPr>
      <t>млрд. сўм</t>
    </r>
  </si>
  <si>
    <t>Фаолиятини давом эттираётган резидентлар улуши (%)</t>
  </si>
  <si>
    <t>Тақдим этилган 
мамлакатлар сони</t>
  </si>
  <si>
    <r>
      <t xml:space="preserve">ИТ хизматлари экспорти, </t>
    </r>
    <r>
      <rPr>
        <i/>
        <sz val="14"/>
        <color rgb="FFC00000"/>
        <rFont val="Arial"/>
        <family val="2"/>
        <charset val="204"/>
      </rPr>
      <t>млрд. сўм</t>
    </r>
  </si>
  <si>
    <r>
      <t xml:space="preserve">Ички бозор, </t>
    </r>
    <r>
      <rPr>
        <i/>
        <sz val="14"/>
        <color rgb="FFC00000"/>
        <rFont val="Arial"/>
        <family val="2"/>
        <charset val="204"/>
      </rPr>
      <t>млрд. сўм</t>
    </r>
  </si>
  <si>
    <r>
      <t xml:space="preserve">ИТ хизматлари экспорти, 
</t>
    </r>
    <r>
      <rPr>
        <i/>
        <sz val="14"/>
        <color rgb="FFC00000"/>
        <rFont val="Arial"/>
        <family val="2"/>
        <charset val="204"/>
      </rPr>
      <t>млн. АҚШ долл.</t>
    </r>
  </si>
  <si>
    <r>
      <t xml:space="preserve">Инвеститсиялар, 
</t>
    </r>
    <r>
      <rPr>
        <i/>
        <sz val="14"/>
        <color rgb="FFC00000"/>
        <rFont val="Arial"/>
        <family val="2"/>
        <charset val="204"/>
      </rPr>
      <t>млн. АҚШ долл.</t>
    </r>
  </si>
  <si>
    <r>
      <t xml:space="preserve">2025 йил якунлари ҳамда 2026 йил учун KPI кўрсаткичлари асосида вилоятлар кесимида хизматлар ҳажми, экспорт кўрсаткичлари ва ходимлар сони тўғрисида
</t>
    </r>
    <r>
      <rPr>
        <b/>
        <sz val="22"/>
        <color rgb="FFC00000"/>
        <rFont val="Arial"/>
        <family val="2"/>
        <charset val="204"/>
      </rPr>
      <t>МАЪЛУМОТ</t>
    </r>
  </si>
  <si>
    <t>IT-Park резидентлари фаолиятининг асосий кўрсаткичлари</t>
  </si>
  <si>
    <t>Беларусь</t>
  </si>
  <si>
    <t>Польша</t>
  </si>
  <si>
    <t>Судан</t>
  </si>
  <si>
    <t>Франция</t>
  </si>
  <si>
    <t>Намибия</t>
  </si>
  <si>
    <t>Швейцария</t>
  </si>
  <si>
    <t>38</t>
  </si>
  <si>
    <t>Эстония</t>
  </si>
  <si>
    <t>39</t>
  </si>
  <si>
    <t>40</t>
  </si>
  <si>
    <t>41</t>
  </si>
  <si>
    <t>42</t>
  </si>
  <si>
    <t>Чехия</t>
  </si>
  <si>
    <t>43</t>
  </si>
  <si>
    <t>44</t>
  </si>
  <si>
    <t>Вьетнам</t>
  </si>
  <si>
    <t>45</t>
  </si>
  <si>
    <t>46</t>
  </si>
  <si>
    <t>47</t>
  </si>
  <si>
    <t>Эсватини</t>
  </si>
  <si>
    <t>48</t>
  </si>
  <si>
    <t>Бангладеш</t>
  </si>
  <si>
    <r>
      <t xml:space="preserve">Инвестициялар, 
</t>
    </r>
    <r>
      <rPr>
        <i/>
        <sz val="14"/>
        <color rgb="FFC00000"/>
        <rFont val="Arial"/>
        <family val="2"/>
        <charset val="204"/>
      </rPr>
      <t>млн. АҚШ доллари</t>
    </r>
  </si>
  <si>
    <t>"EAST-GAMES" МЧЖ</t>
  </si>
  <si>
    <t>"VENTION" МЧЖ ХК</t>
  </si>
  <si>
    <t>"EPAM SYSTEMS" МЧЖ</t>
  </si>
  <si>
    <t>"ITRANSITION" МЧЖ</t>
  </si>
  <si>
    <t>"INNOTECH SOLUTIONS" МЧЖ</t>
  </si>
  <si>
    <t>"TEZ IT SOLUTIONS" МЧЖ</t>
  </si>
  <si>
    <t>"HITECH SOFTWARE" МЧЖ</t>
  </si>
  <si>
    <t>"IBD-SOFT" МЧЖ</t>
  </si>
  <si>
    <t>"SOFTWARE WIZARDS" МЧЖ</t>
  </si>
  <si>
    <t>"ART-KAR" МЧЖ</t>
  </si>
  <si>
    <t>"SHARQ IT LAB" МЧЖ</t>
  </si>
  <si>
    <t>"DEVEXPERTS SOUTH" МЧЖ</t>
  </si>
  <si>
    <t>"CYBREX" МЧЖ ХК</t>
  </si>
  <si>
    <t>"BOOSTANDSALES" МЧЖ</t>
  </si>
  <si>
    <t>"ON TIME-SOLUTIONS" МЧЖ</t>
  </si>
  <si>
    <t>"KEENEO" МЧЖ</t>
  </si>
  <si>
    <t>"UNIPAYMENT" МЧЖ ХК</t>
  </si>
  <si>
    <t>"OPEN TRAVEL MARKET" МЧЖ</t>
  </si>
  <si>
    <t>"GENWARE IT COMPANY" МЧЖ</t>
  </si>
  <si>
    <t>"HUMANS LAB" МЧЖ</t>
  </si>
  <si>
    <t>"KOMPRA" МЧЖ</t>
  </si>
  <si>
    <t>"DEEPINSIGHT" МЧЖ</t>
  </si>
  <si>
    <t>"TERRALINK" МЧЖ</t>
  </si>
  <si>
    <t>"IT LOGISTIC-GLOBAL" МЧЖ</t>
  </si>
  <si>
    <t>"AR-GLOBAL-LOGISTIC" МЧЖ</t>
  </si>
  <si>
    <t>"SOLUTIONS LAB" АЖ</t>
  </si>
  <si>
    <t>"YAGONA UMUMRESPUBLIKA PROTSESSING MARKAZI" АЖ</t>
  </si>
  <si>
    <t>GID SYSTEMS TASHKENT MCHJ XK</t>
  </si>
  <si>
    <t>"PAYME" АЖ</t>
  </si>
  <si>
    <t>"CLICK" АЖ</t>
  </si>
  <si>
    <t>"UZUM TECHNOLOGIES" МЧЖ ХК</t>
  </si>
  <si>
    <t>"UZINFOCOM" МЧЖ</t>
  </si>
  <si>
    <t>"UZUM AUTO" МЧЖ</t>
  </si>
  <si>
    <t>"MILLIY BANKLARARO PROTSESSING MARKAZI" АЖ</t>
  </si>
  <si>
    <r>
      <t xml:space="preserve">Экспорт хизматлар, 
</t>
    </r>
    <r>
      <rPr>
        <i/>
        <sz val="14"/>
        <color rgb="FFC00000"/>
        <rFont val="Arial"/>
        <family val="2"/>
        <charset val="204"/>
      </rPr>
      <t>млн. АҚШ доллари</t>
    </r>
  </si>
  <si>
    <r>
      <t xml:space="preserve">экспортдан, </t>
    </r>
    <r>
      <rPr>
        <i/>
        <sz val="14"/>
        <color rgb="FFC00000"/>
        <rFont val="Arial"/>
        <family val="2"/>
        <charset val="204"/>
      </rPr>
      <t>млрд. сўм</t>
    </r>
  </si>
  <si>
    <t>Фаолиятини давом эттирайётган резидентлар</t>
  </si>
  <si>
    <r>
      <t xml:space="preserve">Фаолиятини </t>
    </r>
    <r>
      <rPr>
        <b/>
        <sz val="14"/>
        <color theme="1"/>
        <rFont val="Arial"/>
        <family val="2"/>
        <charset val="204"/>
      </rPr>
      <t>1 йилгача</t>
    </r>
    <r>
      <rPr>
        <sz val="14"/>
        <color theme="1"/>
        <rFont val="Arial"/>
        <family val="2"/>
        <charset val="204"/>
      </rPr>
      <t xml:space="preserve"> давом эттирайётганлар</t>
    </r>
  </si>
  <si>
    <r>
      <t xml:space="preserve">Фаолиятини </t>
    </r>
    <r>
      <rPr>
        <b/>
        <sz val="14"/>
        <color theme="1"/>
        <rFont val="Arial"/>
        <family val="2"/>
        <charset val="204"/>
      </rPr>
      <t>3 йилдан ортиқ</t>
    </r>
    <r>
      <rPr>
        <sz val="14"/>
        <color theme="1"/>
        <rFont val="Arial"/>
        <family val="2"/>
        <charset val="204"/>
      </rPr>
      <t xml:space="preserve"> давом эттирайётганлар</t>
    </r>
  </si>
  <si>
    <t>IT-Park резидентларининг экспорти</t>
  </si>
  <si>
    <t>IT-Park резидентлигидан махрум қилинди (OSS)</t>
  </si>
  <si>
    <t>IT-Park резиденти сифатида</t>
  </si>
  <si>
    <t>шу жумладан хорижий резидентларнинг экспорти</t>
  </si>
  <si>
    <t>фарқ (+/-)</t>
  </si>
  <si>
    <t>Европа (+Буюк Британия)</t>
  </si>
  <si>
    <r>
      <t xml:space="preserve">Хизматлар 
</t>
    </r>
    <r>
      <rPr>
        <i/>
        <sz val="13"/>
        <color theme="1"/>
        <rFont val="Arial"/>
        <family val="2"/>
        <charset val="204"/>
      </rPr>
      <t>(млрд. сўм)</t>
    </r>
  </si>
  <si>
    <r>
      <t xml:space="preserve">Экспорт 
</t>
    </r>
    <r>
      <rPr>
        <i/>
        <sz val="13"/>
        <color theme="1"/>
        <rFont val="Arial"/>
        <family val="2"/>
        <charset val="204"/>
      </rPr>
      <t>(млн. АҚШ долл.)</t>
    </r>
  </si>
  <si>
    <t>GameDev</t>
  </si>
  <si>
    <t>Креатив иқтисодиёт</t>
  </si>
  <si>
    <t>IT таълими</t>
  </si>
  <si>
    <t>IT консалтинг</t>
  </si>
  <si>
    <t>Дастурий таъминотдаги реклама майдони</t>
  </si>
  <si>
    <t>Финтех</t>
  </si>
  <si>
    <t>Маълумотларни қайта ишлаш</t>
  </si>
  <si>
    <t>Дастурий таъминотни ишлаб чиқиш</t>
  </si>
  <si>
    <t>Лицензияни амалга ошириш</t>
  </si>
  <si>
    <t>Ҳиндистон</t>
  </si>
  <si>
    <t>Иордания Қироллиги</t>
  </si>
  <si>
    <t>Россия Федерацияси</t>
  </si>
  <si>
    <t>Эрон</t>
  </si>
  <si>
    <t>Буюк Британия</t>
  </si>
  <si>
    <t>Шимолий Македония</t>
  </si>
  <si>
    <t>Сурия</t>
  </si>
  <si>
    <t>Филиппин</t>
  </si>
  <si>
    <t>Фаластин</t>
  </si>
  <si>
    <t>2025-йил учун мақсадли ва амалдаги кўрсаткичлар</t>
  </si>
  <si>
    <t>IT-Park резидентлари орасидаги ТОП-10 экспортчилар</t>
  </si>
  <si>
    <t>IT-Park резидентлари томонидан кўрсатилган хизматлар ҳажми</t>
  </si>
  <si>
    <t>2025-йил учун вилоятлар кесимида маълумот</t>
  </si>
  <si>
    <t>Мамлакатлар кесимида берилган ID-карталар хақида маълумот</t>
  </si>
  <si>
    <r>
      <t xml:space="preserve">Жами даромад хажми (умумий), </t>
    </r>
    <r>
      <rPr>
        <b/>
        <i/>
        <sz val="13"/>
        <color rgb="FFC00000"/>
        <rFont val="Arial"/>
        <family val="2"/>
        <charset val="204"/>
      </rPr>
      <t xml:space="preserve">млрд. сўм; </t>
    </r>
    <r>
      <rPr>
        <b/>
        <sz val="13"/>
        <color rgb="FFC00000"/>
        <rFont val="Arial"/>
        <family val="2"/>
        <charset val="204"/>
      </rPr>
      <t xml:space="preserve">
АКТ сохасида  IT-Park резидентларининг республикадаги улуши (%)</t>
    </r>
  </si>
  <si>
    <r>
      <rPr>
        <b/>
        <sz val="18"/>
        <color rgb="FFC00000"/>
        <rFont val="Arial"/>
        <family val="2"/>
        <charset val="204"/>
      </rPr>
      <t>2026-йил</t>
    </r>
    <r>
      <rPr>
        <b/>
        <sz val="18"/>
        <color rgb="FF002060"/>
        <rFont val="Arial"/>
        <family val="2"/>
        <charset val="204"/>
      </rPr>
      <t xml:space="preserve"> учун мақсадли ва амалдаги кўрсаткичлар</t>
    </r>
  </si>
  <si>
    <r>
      <rPr>
        <b/>
        <sz val="14"/>
        <color rgb="FFC00000"/>
        <rFont val="Arial"/>
        <family val="2"/>
        <charset val="204"/>
      </rPr>
      <t>ТОП-10</t>
    </r>
    <r>
      <rPr>
        <b/>
        <sz val="14"/>
        <color theme="8" tint="-0.499984740745262"/>
        <rFont val="Arial"/>
        <family val="2"/>
        <charset val="204"/>
      </rPr>
      <t xml:space="preserve"> экспортчилар </t>
    </r>
    <r>
      <rPr>
        <i/>
        <sz val="14"/>
        <color theme="8" tint="-0.499984740745262"/>
        <rFont val="Arial"/>
        <family val="2"/>
        <charset val="204"/>
      </rPr>
      <t>(IT-Park резидентлари)</t>
    </r>
  </si>
  <si>
    <t>Сони</t>
  </si>
  <si>
    <r>
      <t xml:space="preserve">Экспорт хажмини </t>
    </r>
    <r>
      <rPr>
        <b/>
        <sz val="14"/>
        <color rgb="FFC00000"/>
        <rFont val="Arial"/>
        <family val="2"/>
        <charset val="204"/>
      </rPr>
      <t xml:space="preserve">оширган </t>
    </r>
    <r>
      <rPr>
        <b/>
        <sz val="14"/>
        <color theme="8" tint="-0.499984740745262"/>
        <rFont val="Arial"/>
        <family val="2"/>
        <charset val="204"/>
      </rPr>
      <t>IT-Park резидентлари</t>
    </r>
  </si>
  <si>
    <t>ТОП-10</t>
  </si>
  <si>
    <t>Жами хизматлар хажмида улуши юқори IT-Parkнинг ТОП-10 резиденти</t>
  </si>
  <si>
    <t>шу жумладан:
компьютер дастурлаш хизматлари</t>
  </si>
  <si>
    <r>
      <rPr>
        <b/>
        <sz val="14"/>
        <color rgb="FFC00000"/>
        <rFont val="Arial"/>
        <family val="2"/>
        <charset val="204"/>
      </rPr>
      <t xml:space="preserve">Расмий статистика - АКТ </t>
    </r>
    <r>
      <rPr>
        <b/>
        <sz val="14"/>
        <color rgb="FF002060"/>
        <rFont val="Arial"/>
        <family val="2"/>
        <charset val="204"/>
      </rPr>
      <t>хизматлар ҳажм 
(Миллий статистика қўмитаси маълумотлари)</t>
    </r>
  </si>
  <si>
    <t>Ангилия</t>
  </si>
  <si>
    <t>Резидентларда ходимлари сони</t>
  </si>
  <si>
    <r>
      <t xml:space="preserve">IT Park резидентлар сони тўғрисида маълумот
</t>
    </r>
    <r>
      <rPr>
        <sz val="14"/>
        <color rgb="FFC00000"/>
        <rFont val="Arial"/>
        <family val="2"/>
        <charset val="204"/>
      </rPr>
      <t>(01.01.2026 йил холатига)</t>
    </r>
  </si>
  <si>
    <r>
      <t xml:space="preserve">IT-park резидентлари регистри, 
</t>
    </r>
    <r>
      <rPr>
        <sz val="14"/>
        <color rgb="FFC00000"/>
        <rFont val="Arial"/>
        <family val="2"/>
        <charset val="204"/>
      </rPr>
      <t>(01.01.2026 йил, мамлакатлар кесимида)</t>
    </r>
  </si>
  <si>
    <t>шундан мурожаат тури бўйича:</t>
  </si>
  <si>
    <t>Солиқ масалалари</t>
  </si>
  <si>
    <r>
      <rPr>
        <b/>
        <sz val="14"/>
        <color rgb="FFC00000"/>
        <rFont val="Arial"/>
        <family val="2"/>
        <charset val="204"/>
      </rPr>
      <t>Мурожаатлар</t>
    </r>
    <r>
      <rPr>
        <b/>
        <sz val="14"/>
        <color rgb="FF002060"/>
        <rFont val="Arial"/>
        <family val="2"/>
        <charset val="204"/>
      </rPr>
      <t xml:space="preserve"> хақида маълумот</t>
    </r>
  </si>
  <si>
    <t>Дастур ишлаб чиқиш</t>
  </si>
  <si>
    <t>Геймдев</t>
  </si>
  <si>
    <t>Лицензияни жорий этиш</t>
  </si>
  <si>
    <t>Сингапур, Россия…</t>
  </si>
  <si>
    <t>150+</t>
  </si>
  <si>
    <t>7.2</t>
  </si>
  <si>
    <t>7.3</t>
  </si>
  <si>
    <t>OSS дастури доирасида кўрсатилган рўйхатдан ўтказиш хизматларининг сони - жами</t>
  </si>
  <si>
    <t>IT-Park резиденти сифатида рўйхатдан ўтиш</t>
  </si>
  <si>
    <t>Бошқа йўналишлар бўйича рўйхатдан ўтиш</t>
  </si>
  <si>
    <r>
      <t xml:space="preserve">2025 йил учун </t>
    </r>
    <r>
      <rPr>
        <b/>
        <sz val="12"/>
        <color rgb="FFC00000"/>
        <rFont val="Arial"/>
        <family val="2"/>
        <charset val="204"/>
      </rPr>
      <t>мамлакатлар</t>
    </r>
    <r>
      <rPr>
        <b/>
        <sz val="12"/>
        <color rgb="FF002060"/>
        <rFont val="Arial"/>
        <family val="2"/>
        <charset val="204"/>
      </rPr>
      <t xml:space="preserve"> кесимида </t>
    </r>
    <r>
      <rPr>
        <b/>
        <sz val="12"/>
        <color rgb="FFC00000"/>
        <rFont val="Arial"/>
        <family val="2"/>
        <charset val="204"/>
      </rPr>
      <t>Ягона дарча</t>
    </r>
    <r>
      <rPr>
        <b/>
        <sz val="12"/>
        <color rgb="FF002060"/>
        <rFont val="Arial"/>
        <family val="2"/>
        <charset val="204"/>
      </rPr>
      <t xml:space="preserve"> (One Stop Shop / OSS) орқали кўрсатилган хизматлар тўғрисида маълумот</t>
    </r>
  </si>
  <si>
    <t>IT мутахассисларига</t>
  </si>
  <si>
    <r>
      <t xml:space="preserve">IT Park </t>
    </r>
    <r>
      <rPr>
        <b/>
        <sz val="14"/>
        <color rgb="FFC00000"/>
        <rFont val="Arial"/>
        <family val="2"/>
        <charset val="204"/>
      </rPr>
      <t>хорижий</t>
    </r>
    <r>
      <rPr>
        <b/>
        <sz val="14"/>
        <color rgb="FF002060"/>
        <rFont val="Arial"/>
        <family val="2"/>
        <charset val="204"/>
      </rPr>
      <t xml:space="preserve"> резидентлари (асосий кўрсаткичлар)</t>
    </r>
  </si>
  <si>
    <t>11-жадвал</t>
  </si>
  <si>
    <t>Халқаро ҳамкорликлар ва IT-Park тадбирлари</t>
  </si>
  <si>
    <t>Ўзбекистоннинг хорижга давлат делегациялари</t>
  </si>
  <si>
    <t>Янги ҳамкорликлар</t>
  </si>
  <si>
    <t>IT-Park томонидан виза кўмаги</t>
  </si>
  <si>
    <t>хорижий меҳмонлар учун</t>
  </si>
  <si>
    <t>IT-Park раҳбарияти ва ходимлари учун</t>
  </si>
  <si>
    <t>KOICA билан лойиҳа (Тайёрланган мутахассислар умумий сони)</t>
  </si>
  <si>
    <t>Ўзбек–Корея BPO Форуми (Иштирокчилар сони)</t>
  </si>
  <si>
    <t>Ўзбек–Корея BPO Форуми доирасида ишга туширилган пилот лойиҳалар</t>
  </si>
  <si>
    <t>Ўзбек–Корея BPO Форуми доирасида имзоланган меморандумлар</t>
  </si>
  <si>
    <t>Ўзбек–Корея BPO Форуми доирасида уюштирилган B2B учрашувлар</t>
  </si>
  <si>
    <t>«Bonus system» лойиҳаси доирасидаги амалдаги шартномалар сони</t>
  </si>
  <si>
    <t>технопарклар, акселераторлар,…</t>
  </si>
  <si>
    <t>Жанубий Карея, Япония, БАА…</t>
  </si>
  <si>
    <t>АҚШ, Канада…</t>
  </si>
  <si>
    <t>Хитой, Япония, АҚШ,…</t>
  </si>
  <si>
    <t>БАА, Уммон</t>
  </si>
  <si>
    <t>Хиндистон, Саудия  Арабистони</t>
  </si>
  <si>
    <t>АҚШ, Австралия…</t>
  </si>
  <si>
    <t>Изоҳ / натижа</t>
  </si>
  <si>
    <t>Келишув ва ўзаро англашув меморандумлари имзоланган мамлакатлар сони</t>
  </si>
  <si>
    <t>Халқаро келишувлар сони, (меморандум)</t>
  </si>
  <si>
    <t>IT-Park қабул қилган давлат ташрифлари</t>
  </si>
  <si>
    <t>Расмий статистика - АКТ хизматлар ҳажм 
(Миллий статистика қўмитаси маълумотлари)</t>
  </si>
  <si>
    <t>Тақдим этилган хизматлар хақида маълумот (Ягона дарча /OSS/)</t>
  </si>
  <si>
    <t>IT-park резидентлари регистри, (01.01.2026 йил, мамлакатлар кесимида)</t>
  </si>
  <si>
    <t>2025 йил учун мамлакатлар кесимида Ягона дарча (One Stop Shop / OSS) орқали кўрсатилган хизматлар тўғрисида маълумот</t>
  </si>
  <si>
    <t>IT Visa дастури бўйича берилган ID Cardлар тўғрисида маълумот</t>
  </si>
  <si>
    <t>IT Park хорижий резидентлари (асосий кўрсаткичлар)</t>
  </si>
  <si>
    <t>АКТ сохасидаги жами экспорт</t>
  </si>
  <si>
    <t>IT ўкитиш</t>
  </si>
  <si>
    <r>
      <rPr>
        <b/>
        <sz val="14"/>
        <color rgb="FFC00000"/>
        <rFont val="Arial"/>
        <family val="2"/>
        <charset val="204"/>
      </rPr>
      <t>IT Visa</t>
    </r>
    <r>
      <rPr>
        <b/>
        <sz val="14"/>
        <color rgb="FF002060"/>
        <rFont val="Arial"/>
        <family val="2"/>
        <charset val="204"/>
      </rPr>
      <t xml:space="preserve"> дастури бўйича берилган </t>
    </r>
    <r>
      <rPr>
        <b/>
        <sz val="14"/>
        <color rgb="FFC00000"/>
        <rFont val="Arial"/>
        <family val="2"/>
        <charset val="204"/>
      </rPr>
      <t>IT Card</t>
    </r>
    <r>
      <rPr>
        <b/>
        <sz val="14"/>
        <color rgb="FF002060"/>
        <rFont val="Arial"/>
        <family val="2"/>
        <charset val="204"/>
      </rPr>
      <t>лар тўғрисида маълумот</t>
    </r>
  </si>
  <si>
    <r>
      <t xml:space="preserve">Хисобот даврида берилган 
</t>
    </r>
    <r>
      <rPr>
        <b/>
        <sz val="13"/>
        <color rgb="FFC00000"/>
        <rFont val="Arial"/>
        <family val="2"/>
        <charset val="204"/>
      </rPr>
      <t>IT-карталар</t>
    </r>
  </si>
  <si>
    <r>
      <t xml:space="preserve">Берилган </t>
    </r>
    <r>
      <rPr>
        <b/>
        <sz val="13"/>
        <color rgb="FFC00000"/>
        <rFont val="Arial"/>
        <family val="2"/>
        <charset val="204"/>
      </rPr>
      <t>IT-карталар</t>
    </r>
    <r>
      <rPr>
        <b/>
        <sz val="13"/>
        <color theme="1"/>
        <rFont val="Arial"/>
        <family val="2"/>
        <charset val="204"/>
      </rPr>
      <t xml:space="preserve"> жами 
</t>
    </r>
    <r>
      <rPr>
        <i/>
        <sz val="13"/>
        <color theme="1"/>
        <rFont val="Arial"/>
        <family val="2"/>
        <charset val="204"/>
      </rPr>
      <t>(2022-йилдан бошлаб)</t>
    </r>
  </si>
  <si>
    <r>
      <t xml:space="preserve">Мамлакатлар кесимида берилган </t>
    </r>
    <r>
      <rPr>
        <b/>
        <sz val="14"/>
        <color rgb="FFC00000"/>
        <rFont val="Arial"/>
        <family val="2"/>
        <charset val="204"/>
      </rPr>
      <t>IT-карталар</t>
    </r>
    <r>
      <rPr>
        <b/>
        <sz val="14"/>
        <color rgb="FF002060"/>
        <rFont val="Arial"/>
        <family val="2"/>
        <charset val="204"/>
      </rPr>
      <t xml:space="preserve"> хақида маълумот</t>
    </r>
  </si>
  <si>
    <r>
      <rPr>
        <b/>
        <sz val="11"/>
        <color rgb="FFC00000"/>
        <rFont val="Arial"/>
        <family val="2"/>
        <charset val="204"/>
      </rPr>
      <t xml:space="preserve">Хисобот даврида </t>
    </r>
    <r>
      <rPr>
        <sz val="11"/>
        <color theme="1"/>
        <rFont val="Arial"/>
        <family val="2"/>
        <charset val="204"/>
      </rPr>
      <t>берилган IT-карталар сони</t>
    </r>
  </si>
  <si>
    <r>
      <t>Берилган IT-карталар жами</t>
    </r>
    <r>
      <rPr>
        <sz val="11"/>
        <color rgb="FFC0000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(ўсиб бориш тартибида)</t>
    </r>
  </si>
  <si>
    <r>
      <t xml:space="preserve">Тақдим этилган хизматлар хақида маълумот
</t>
    </r>
    <r>
      <rPr>
        <sz val="14"/>
        <color rgb="FFC00000"/>
        <rFont val="Arial"/>
        <family val="2"/>
        <charset val="204"/>
      </rPr>
      <t>(Ягона дарча /OSS/)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</si>
</sst>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\ _₽_-;\-* #,##0.00\ _₽_-;_-* &quot;-&quot;??\ _₽_-;_-@_-"/>
    <numFmt numFmtId="164" formatCode="_-* #,##0.00_-;\-* #,##0.00_-;_-* &quot;-&quot;??_-;_-@_-"/>
    <numFmt numFmtId="165" formatCode="#,##0.0_ ;[Red]\-#,##0.0\ "/>
    <numFmt numFmtId="166" formatCode="#,##0.0"/>
    <numFmt numFmtId="167" formatCode="0.0%"/>
    <numFmt numFmtId="168" formatCode="#,##0.0_ ;\-#,##0.0\ "/>
    <numFmt numFmtId="169" formatCode="#,##0_ ;[Red]\-#,##0\ "/>
    <numFmt numFmtId="170" formatCode="_-* #,##0.00_р_._-;\-* #,##0.00_р_._-;_-* &quot;-&quot;??_р_._-;_-@_-"/>
    <numFmt numFmtId="171" formatCode="#,##0.00_ ;[Red]\-#,##0.00\ "/>
    <numFmt numFmtId="172" formatCode="#,##0_ ;\-#,##0\ "/>
  </numFmts>
  <fonts count="8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8"/>
      <name val="Calibri"/>
      <family val="2"/>
      <scheme val="minor"/>
    </font>
    <font>
      <b/>
      <sz val="14"/>
      <color rgb="FF002060"/>
      <name val="Arial"/>
      <family val="2"/>
      <charset val="204"/>
    </font>
    <font>
      <sz val="11"/>
      <color theme="1"/>
      <name val="Calibri"/>
      <family val="2"/>
      <scheme val="minor"/>
    </font>
    <font>
      <sz val="13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i/>
      <sz val="13"/>
      <color theme="1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i/>
      <sz val="14"/>
      <name val="Arial"/>
      <family val="2"/>
      <charset val="204"/>
    </font>
    <font>
      <b/>
      <sz val="14"/>
      <color theme="1"/>
      <name val="Arial"/>
      <family val="2"/>
      <charset val="204"/>
    </font>
    <font>
      <i/>
      <sz val="14"/>
      <color theme="1"/>
      <name val="Arial"/>
      <family val="2"/>
      <charset val="204"/>
    </font>
    <font>
      <sz val="10"/>
      <name val="Arial Cyr"/>
      <charset val="204"/>
    </font>
    <font>
      <sz val="14"/>
      <color theme="1"/>
      <name val="Arial"/>
      <family val="2"/>
      <charset val="204"/>
    </font>
    <font>
      <b/>
      <i/>
      <sz val="14"/>
      <color rgb="FFC00000"/>
      <name val="Arial"/>
      <family val="2"/>
      <charset val="204"/>
    </font>
    <font>
      <sz val="14"/>
      <color rgb="FFC00000"/>
      <name val="Arial"/>
      <family val="2"/>
      <charset val="204"/>
    </font>
    <font>
      <b/>
      <sz val="13"/>
      <name val="Arial"/>
      <family val="2"/>
      <charset val="204"/>
    </font>
    <font>
      <i/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rgb="FFC00000"/>
      <name val="Arial"/>
      <family val="2"/>
      <charset val="204"/>
    </font>
    <font>
      <b/>
      <sz val="14"/>
      <color rgb="FFC00000"/>
      <name val="Arial"/>
      <family val="2"/>
      <charset val="204"/>
    </font>
    <font>
      <b/>
      <sz val="14"/>
      <color theme="8" tint="-0.499984740745262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i/>
      <sz val="11"/>
      <color rgb="FFC00000"/>
      <name val="Arial"/>
      <family val="2"/>
      <charset val="204"/>
    </font>
    <font>
      <b/>
      <sz val="13"/>
      <color rgb="FFC00000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color rgb="FFC00000"/>
      <name val="Arial"/>
      <family val="2"/>
      <charset val="204"/>
    </font>
    <font>
      <i/>
      <sz val="14"/>
      <color rgb="FFC00000"/>
      <name val="Arial"/>
      <family val="2"/>
      <charset val="204"/>
    </font>
    <font>
      <b/>
      <sz val="14"/>
      <color theme="0"/>
      <name val="Arial"/>
      <family val="2"/>
      <charset val="204"/>
    </font>
    <font>
      <b/>
      <i/>
      <sz val="13"/>
      <color theme="1"/>
      <name val="Arial"/>
      <family val="2"/>
      <charset val="204"/>
    </font>
    <font>
      <sz val="14"/>
      <color theme="0"/>
      <name val="Arial"/>
      <family val="2"/>
      <charset val="204"/>
    </font>
    <font>
      <b/>
      <sz val="18"/>
      <color rgb="FF002060"/>
      <name val="Arial"/>
      <family val="2"/>
      <charset val="204"/>
    </font>
    <font>
      <b/>
      <sz val="18"/>
      <color rgb="FFC00000"/>
      <name val="Arial"/>
      <family val="2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 Cyr"/>
      <charset val="204"/>
    </font>
    <font>
      <sz val="13"/>
      <color indexed="8"/>
      <name val="Arial"/>
      <family val="2"/>
      <charset val="204"/>
    </font>
    <font>
      <b/>
      <sz val="13"/>
      <color indexed="8"/>
      <name val="Arial"/>
      <family val="2"/>
      <charset val="204"/>
    </font>
    <font>
      <b/>
      <i/>
      <sz val="13"/>
      <color rgb="FFC00000"/>
      <name val="Arial"/>
      <family val="2"/>
      <charset val="204"/>
    </font>
    <font>
      <sz val="13"/>
      <name val="Arial"/>
      <family val="2"/>
      <charset val="204"/>
    </font>
    <font>
      <i/>
      <sz val="13"/>
      <name val="Arial"/>
      <family val="2"/>
      <charset val="204"/>
    </font>
    <font>
      <b/>
      <sz val="13"/>
      <color theme="4"/>
      <name val="Arial"/>
      <family val="2"/>
      <charset val="204"/>
    </font>
    <font>
      <b/>
      <sz val="13"/>
      <color rgb="FF000000"/>
      <name val="Arial"/>
      <family val="2"/>
      <charset val="204"/>
    </font>
    <font>
      <i/>
      <sz val="13"/>
      <color rgb="FF000000"/>
      <name val="Arial"/>
      <family val="2"/>
      <charset val="204"/>
    </font>
    <font>
      <b/>
      <i/>
      <sz val="13"/>
      <color rgb="FF000000"/>
      <name val="Arial"/>
      <family val="2"/>
      <charset val="204"/>
    </font>
    <font>
      <i/>
      <sz val="13"/>
      <color indexed="8"/>
      <name val="Arial"/>
      <family val="2"/>
      <charset val="204"/>
    </font>
    <font>
      <b/>
      <i/>
      <sz val="13"/>
      <name val="Arial"/>
      <family val="2"/>
      <charset val="204"/>
    </font>
    <font>
      <sz val="11"/>
      <color rgb="FFC00000"/>
      <name val="Arial"/>
      <family val="2"/>
      <charset val="204"/>
    </font>
    <font>
      <b/>
      <i/>
      <sz val="14"/>
      <color theme="1"/>
      <name val="Arial"/>
      <family val="2"/>
      <charset val="204"/>
    </font>
    <font>
      <i/>
      <sz val="14"/>
      <color theme="0"/>
      <name val="Arial"/>
      <family val="2"/>
      <charset val="204"/>
    </font>
    <font>
      <sz val="13"/>
      <color rgb="FF093D93"/>
      <name val="Arial"/>
      <family val="2"/>
      <charset val="204"/>
    </font>
    <font>
      <b/>
      <sz val="22"/>
      <color rgb="FF002060"/>
      <name val="Arial"/>
      <family val="2"/>
      <charset val="204"/>
    </font>
    <font>
      <b/>
      <sz val="22"/>
      <color rgb="FFC00000"/>
      <name val="Arial"/>
      <family val="2"/>
      <charset val="204"/>
    </font>
    <font>
      <b/>
      <sz val="22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name val="Arial"/>
      <family val="2"/>
      <charset val="204"/>
    </font>
    <font>
      <b/>
      <u/>
      <sz val="18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sz val="18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i/>
      <sz val="14"/>
      <color theme="8" tint="-0.499984740745262"/>
      <name val="Arial"/>
      <family val="2"/>
      <charset val="204"/>
    </font>
    <font>
      <b/>
      <i/>
      <sz val="12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8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19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9" fillId="0" borderId="0"/>
    <xf numFmtId="0" fontId="4" fillId="0" borderId="0"/>
    <xf numFmtId="0" fontId="10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1" fillId="0" borderId="0"/>
    <xf numFmtId="0" fontId="51" fillId="0" borderId="0"/>
    <xf numFmtId="0" fontId="1" fillId="0" borderId="0"/>
    <xf numFmtId="0" fontId="51" fillId="0" borderId="0"/>
    <xf numFmtId="9" fontId="1" fillId="0" borderId="0" applyFont="0" applyFill="0" applyBorder="0" applyAlignment="0" applyProtection="0"/>
  </cellStyleXfs>
  <cellXfs count="636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/>
    <xf numFmtId="49" fontId="6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center" vertical="center"/>
    </xf>
    <xf numFmtId="9" fontId="20" fillId="0" borderId="4" xfId="2" applyFont="1" applyBorder="1" applyAlignment="1">
      <alignment horizontal="center" vertical="center"/>
    </xf>
    <xf numFmtId="9" fontId="20" fillId="0" borderId="4" xfId="0" applyNumberFormat="1" applyFont="1" applyBorder="1" applyAlignment="1">
      <alignment horizontal="center" vertical="center"/>
    </xf>
    <xf numFmtId="0" fontId="20" fillId="0" borderId="0" xfId="0" applyFont="1"/>
    <xf numFmtId="0" fontId="18" fillId="0" borderId="1" xfId="0" applyFont="1" applyBorder="1" applyAlignment="1">
      <alignment horizontal="left" vertical="center" indent="3"/>
    </xf>
    <xf numFmtId="0" fontId="18" fillId="0" borderId="0" xfId="0" applyFont="1"/>
    <xf numFmtId="9" fontId="18" fillId="0" borderId="5" xfId="2" applyFont="1" applyBorder="1" applyAlignment="1">
      <alignment horizontal="center" vertical="center"/>
    </xf>
    <xf numFmtId="9" fontId="18" fillId="0" borderId="5" xfId="0" applyNumberFormat="1" applyFont="1" applyBorder="1" applyAlignment="1">
      <alignment horizontal="center" vertical="center"/>
    </xf>
    <xf numFmtId="9" fontId="20" fillId="0" borderId="5" xfId="0" applyNumberFormat="1" applyFont="1" applyBorder="1" applyAlignment="1">
      <alignment horizontal="center" vertical="center"/>
    </xf>
    <xf numFmtId="49" fontId="20" fillId="0" borderId="7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2" fillId="0" borderId="0" xfId="0" applyFont="1"/>
    <xf numFmtId="49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wrapText="1"/>
    </xf>
    <xf numFmtId="49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 indent="1"/>
    </xf>
    <xf numFmtId="49" fontId="17" fillId="0" borderId="6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indent="1"/>
    </xf>
    <xf numFmtId="9" fontId="17" fillId="0" borderId="4" xfId="2" applyFont="1" applyBorder="1" applyAlignment="1">
      <alignment horizontal="center" vertical="center"/>
    </xf>
    <xf numFmtId="9" fontId="17" fillId="0" borderId="4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7" fillId="0" borderId="0" xfId="0" applyFont="1"/>
    <xf numFmtId="9" fontId="17" fillId="0" borderId="1" xfId="2" applyFont="1" applyBorder="1" applyAlignment="1">
      <alignment horizontal="center" vertical="center"/>
    </xf>
    <xf numFmtId="0" fontId="20" fillId="0" borderId="22" xfId="0" applyFont="1" applyBorder="1" applyAlignment="1">
      <alignment horizontal="left" vertical="center" indent="2"/>
    </xf>
    <xf numFmtId="0" fontId="18" fillId="0" borderId="22" xfId="0" applyFont="1" applyBorder="1" applyAlignment="1">
      <alignment horizontal="left" vertical="center" indent="4"/>
    </xf>
    <xf numFmtId="0" fontId="11" fillId="0" borderId="22" xfId="0" applyFont="1" applyBorder="1" applyAlignment="1">
      <alignment horizontal="left" vertical="center" wrapText="1" indent="3"/>
    </xf>
    <xf numFmtId="0" fontId="20" fillId="0" borderId="22" xfId="0" applyFont="1" applyBorder="1" applyAlignment="1">
      <alignment horizontal="left" vertical="center" indent="3"/>
    </xf>
    <xf numFmtId="0" fontId="24" fillId="0" borderId="0" xfId="0" applyFont="1" applyAlignment="1">
      <alignment horizontal="right"/>
    </xf>
    <xf numFmtId="49" fontId="17" fillId="3" borderId="8" xfId="0" applyNumberFormat="1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indent="1"/>
    </xf>
    <xf numFmtId="0" fontId="17" fillId="0" borderId="1" xfId="0" applyFont="1" applyBorder="1" applyAlignment="1">
      <alignment horizontal="left" vertical="center" indent="1"/>
    </xf>
    <xf numFmtId="49" fontId="11" fillId="0" borderId="23" xfId="0" applyNumberFormat="1" applyFont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/>
    </xf>
    <xf numFmtId="0" fontId="11" fillId="4" borderId="2" xfId="0" applyFont="1" applyFill="1" applyBorder="1"/>
    <xf numFmtId="0" fontId="11" fillId="4" borderId="4" xfId="0" applyFont="1" applyFill="1" applyBorder="1"/>
    <xf numFmtId="9" fontId="11" fillId="4" borderId="4" xfId="2" applyFont="1" applyFill="1" applyBorder="1" applyAlignment="1">
      <alignment horizontal="center" vertical="center"/>
    </xf>
    <xf numFmtId="9" fontId="11" fillId="4" borderId="4" xfId="0" applyNumberFormat="1" applyFont="1" applyFill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4"/>
    </xf>
    <xf numFmtId="0" fontId="13" fillId="0" borderId="1" xfId="0" applyFont="1" applyBorder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1"/>
    </xf>
    <xf numFmtId="0" fontId="11" fillId="0" borderId="1" xfId="0" applyFont="1" applyBorder="1" applyAlignment="1">
      <alignment horizontal="left" vertical="center" wrapText="1" indent="2"/>
    </xf>
    <xf numFmtId="0" fontId="12" fillId="0" borderId="1" xfId="0" applyFont="1" applyBorder="1" applyAlignment="1">
      <alignment horizontal="left" vertical="center" wrapText="1" indent="1"/>
    </xf>
    <xf numFmtId="0" fontId="32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49" fontId="24" fillId="0" borderId="7" xfId="0" applyNumberFormat="1" applyFont="1" applyBorder="1" applyAlignment="1">
      <alignment horizontal="center" vertical="center"/>
    </xf>
    <xf numFmtId="49" fontId="26" fillId="0" borderId="7" xfId="0" applyNumberFormat="1" applyFont="1" applyBorder="1" applyAlignment="1">
      <alignment horizontal="center" vertical="center"/>
    </xf>
    <xf numFmtId="49" fontId="24" fillId="0" borderId="6" xfId="0" applyNumberFormat="1" applyFont="1" applyBorder="1" applyAlignment="1">
      <alignment horizontal="center" vertical="center"/>
    </xf>
    <xf numFmtId="3" fontId="38" fillId="0" borderId="1" xfId="0" applyNumberFormat="1" applyFont="1" applyBorder="1" applyAlignment="1">
      <alignment horizontal="center" vertical="center"/>
    </xf>
    <xf numFmtId="0" fontId="25" fillId="3" borderId="9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7" fillId="0" borderId="0" xfId="0" applyFont="1"/>
    <xf numFmtId="0" fontId="34" fillId="0" borderId="5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left" vertical="center" indent="5"/>
    </xf>
    <xf numFmtId="0" fontId="31" fillId="4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3"/>
    </xf>
    <xf numFmtId="0" fontId="17" fillId="0" borderId="1" xfId="0" applyFont="1" applyBorder="1" applyAlignment="1">
      <alignment horizontal="left" vertical="center" wrapText="1" indent="1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49" fontId="20" fillId="0" borderId="6" xfId="0" applyNumberFormat="1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4"/>
    </xf>
    <xf numFmtId="9" fontId="20" fillId="0" borderId="4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49" fontId="26" fillId="0" borderId="6" xfId="0" applyNumberFormat="1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2"/>
    </xf>
    <xf numFmtId="0" fontId="26" fillId="0" borderId="24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 indent="4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wrapText="1" indent="1"/>
    </xf>
    <xf numFmtId="0" fontId="20" fillId="0" borderId="0" xfId="7" applyFont="1"/>
    <xf numFmtId="0" fontId="12" fillId="2" borderId="38" xfId="7" applyFont="1" applyFill="1" applyBorder="1" applyAlignment="1">
      <alignment horizontal="center" vertical="center" wrapText="1"/>
    </xf>
    <xf numFmtId="0" fontId="12" fillId="2" borderId="39" xfId="7" applyFont="1" applyFill="1" applyBorder="1" applyAlignment="1">
      <alignment horizontal="center" vertical="center" wrapText="1"/>
    </xf>
    <xf numFmtId="49" fontId="16" fillId="0" borderId="7" xfId="7" applyNumberFormat="1" applyFont="1" applyBorder="1" applyAlignment="1">
      <alignment horizontal="center" vertical="center" wrapText="1"/>
    </xf>
    <xf numFmtId="0" fontId="16" fillId="0" borderId="1" xfId="7" applyFont="1" applyBorder="1" applyAlignment="1">
      <alignment horizontal="left" vertical="center" wrapText="1" indent="3"/>
    </xf>
    <xf numFmtId="0" fontId="37" fillId="0" borderId="5" xfId="7" applyFont="1" applyBorder="1" applyAlignment="1">
      <alignment horizontal="center" vertical="center" wrapText="1"/>
    </xf>
    <xf numFmtId="0" fontId="14" fillId="0" borderId="7" xfId="7" applyFont="1" applyBorder="1" applyAlignment="1">
      <alignment horizontal="center" vertical="center" wrapText="1"/>
    </xf>
    <xf numFmtId="0" fontId="14" fillId="0" borderId="1" xfId="7" applyFont="1" applyBorder="1" applyAlignment="1">
      <alignment horizontal="left" vertical="center" wrapText="1" indent="1"/>
    </xf>
    <xf numFmtId="49" fontId="14" fillId="0" borderId="7" xfId="7" applyNumberFormat="1" applyFont="1" applyBorder="1" applyAlignment="1">
      <alignment horizontal="center" vertical="center" wrapText="1"/>
    </xf>
    <xf numFmtId="0" fontId="15" fillId="0" borderId="1" xfId="7" applyFont="1" applyBorder="1" applyAlignment="1">
      <alignment horizontal="left" vertical="center" wrapText="1"/>
    </xf>
    <xf numFmtId="0" fontId="15" fillId="0" borderId="1" xfId="7" applyFont="1" applyBorder="1" applyAlignment="1">
      <alignment horizontal="left" vertical="center" wrapText="1" indent="1"/>
    </xf>
    <xf numFmtId="0" fontId="17" fillId="0" borderId="0" xfId="7" applyFont="1" applyAlignment="1">
      <alignment horizontal="center" vertical="center"/>
    </xf>
    <xf numFmtId="0" fontId="20" fillId="0" borderId="0" xfId="7" applyFont="1" applyAlignment="1">
      <alignment wrapText="1"/>
    </xf>
    <xf numFmtId="0" fontId="20" fillId="0" borderId="0" xfId="7" applyFont="1" applyAlignment="1">
      <alignment horizontal="center" vertical="center"/>
    </xf>
    <xf numFmtId="0" fontId="41" fillId="0" borderId="0" xfId="7" applyFont="1" applyAlignment="1">
      <alignment horizontal="center" vertical="center"/>
    </xf>
    <xf numFmtId="0" fontId="43" fillId="0" borderId="0" xfId="7" applyFont="1" applyAlignment="1">
      <alignment horizontal="center" vertical="center"/>
    </xf>
    <xf numFmtId="0" fontId="43" fillId="0" borderId="0" xfId="7" applyFont="1"/>
    <xf numFmtId="3" fontId="16" fillId="0" borderId="1" xfId="9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indent="3"/>
    </xf>
    <xf numFmtId="0" fontId="18" fillId="0" borderId="2" xfId="0" applyFont="1" applyBorder="1" applyAlignment="1">
      <alignment horizontal="left" vertical="center" wrapText="1" indent="5"/>
    </xf>
    <xf numFmtId="0" fontId="12" fillId="0" borderId="19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7" fillId="6" borderId="38" xfId="0" applyFont="1" applyFill="1" applyBorder="1" applyAlignment="1">
      <alignment horizontal="center" vertical="center"/>
    </xf>
    <xf numFmtId="49" fontId="46" fillId="0" borderId="38" xfId="0" applyNumberFormat="1" applyFont="1" applyBorder="1" applyAlignment="1">
      <alignment horizontal="center" vertical="center"/>
    </xf>
    <xf numFmtId="0" fontId="47" fillId="6" borderId="38" xfId="0" applyFont="1" applyFill="1" applyBorder="1" applyAlignment="1">
      <alignment horizontal="center" vertical="center" wrapText="1"/>
    </xf>
    <xf numFmtId="0" fontId="49" fillId="0" borderId="38" xfId="10" applyFont="1" applyBorder="1" applyAlignment="1">
      <alignment vertical="center"/>
    </xf>
    <xf numFmtId="0" fontId="49" fillId="0" borderId="38" xfId="10" applyFont="1" applyBorder="1" applyAlignment="1">
      <alignment vertical="center" wrapText="1"/>
    </xf>
    <xf numFmtId="167" fontId="16" fillId="0" borderId="5" xfId="2" applyNumberFormat="1" applyFont="1" applyFill="1" applyBorder="1" applyAlignment="1">
      <alignment horizontal="center" vertical="center" wrapText="1"/>
    </xf>
    <xf numFmtId="167" fontId="16" fillId="0" borderId="41" xfId="2" applyNumberFormat="1" applyFont="1" applyFill="1" applyBorder="1" applyAlignment="1">
      <alignment horizontal="center" vertical="center" wrapText="1"/>
    </xf>
    <xf numFmtId="3" fontId="16" fillId="10" borderId="40" xfId="8" applyNumberFormat="1" applyFont="1" applyFill="1" applyBorder="1" applyAlignment="1">
      <alignment horizontal="center" vertical="center"/>
    </xf>
    <xf numFmtId="3" fontId="16" fillId="10" borderId="7" xfId="9" applyNumberFormat="1" applyFont="1" applyFill="1" applyBorder="1" applyAlignment="1">
      <alignment horizontal="center" vertical="center" wrapText="1"/>
    </xf>
    <xf numFmtId="3" fontId="16" fillId="10" borderId="1" xfId="9" applyNumberFormat="1" applyFont="1" applyFill="1" applyBorder="1" applyAlignment="1">
      <alignment horizontal="center" vertical="center" wrapText="1"/>
    </xf>
    <xf numFmtId="3" fontId="14" fillId="10" borderId="40" xfId="8" applyNumberFormat="1" applyFont="1" applyFill="1" applyBorder="1" applyAlignment="1">
      <alignment horizontal="center" vertical="center"/>
    </xf>
    <xf numFmtId="3" fontId="14" fillId="10" borderId="7" xfId="9" applyNumberFormat="1" applyFont="1" applyFill="1" applyBorder="1" applyAlignment="1">
      <alignment horizontal="center" vertical="center" wrapText="1"/>
    </xf>
    <xf numFmtId="3" fontId="14" fillId="10" borderId="1" xfId="9" applyNumberFormat="1" applyFont="1" applyFill="1" applyBorder="1" applyAlignment="1">
      <alignment horizontal="center" vertical="center" wrapText="1"/>
    </xf>
    <xf numFmtId="166" fontId="14" fillId="10" borderId="40" xfId="8" applyNumberFormat="1" applyFont="1" applyFill="1" applyBorder="1" applyAlignment="1">
      <alignment horizontal="center" vertical="center"/>
    </xf>
    <xf numFmtId="166" fontId="14" fillId="10" borderId="7" xfId="8" applyNumberFormat="1" applyFont="1" applyFill="1" applyBorder="1" applyAlignment="1">
      <alignment horizontal="center" vertical="center" wrapText="1"/>
    </xf>
    <xf numFmtId="166" fontId="14" fillId="10" borderId="1" xfId="8" applyNumberFormat="1" applyFont="1" applyFill="1" applyBorder="1" applyAlignment="1">
      <alignment horizontal="center" vertical="center" wrapText="1"/>
    </xf>
    <xf numFmtId="3" fontId="16" fillId="10" borderId="21" xfId="9" applyNumberFormat="1" applyFont="1" applyFill="1" applyBorder="1" applyAlignment="1">
      <alignment horizontal="center" vertical="center" wrapText="1"/>
    </xf>
    <xf numFmtId="3" fontId="14" fillId="10" borderId="21" xfId="9" applyNumberFormat="1" applyFont="1" applyFill="1" applyBorder="1" applyAlignment="1">
      <alignment horizontal="center" vertical="center" wrapText="1"/>
    </xf>
    <xf numFmtId="166" fontId="14" fillId="10" borderId="21" xfId="8" applyNumberFormat="1" applyFont="1" applyFill="1" applyBorder="1" applyAlignment="1">
      <alignment horizontal="center" vertical="center" wrapText="1"/>
    </xf>
    <xf numFmtId="3" fontId="16" fillId="10" borderId="7" xfId="8" applyNumberFormat="1" applyFont="1" applyFill="1" applyBorder="1" applyAlignment="1">
      <alignment horizontal="center" vertical="center"/>
    </xf>
    <xf numFmtId="3" fontId="16" fillId="10" borderId="1" xfId="8" applyNumberFormat="1" applyFont="1" applyFill="1" applyBorder="1" applyAlignment="1">
      <alignment horizontal="center" vertical="center"/>
    </xf>
    <xf numFmtId="3" fontId="14" fillId="10" borderId="7" xfId="8" applyNumberFormat="1" applyFont="1" applyFill="1" applyBorder="1" applyAlignment="1">
      <alignment horizontal="center" vertical="center"/>
    </xf>
    <xf numFmtId="3" fontId="14" fillId="10" borderId="1" xfId="8" applyNumberFormat="1" applyFont="1" applyFill="1" applyBorder="1" applyAlignment="1">
      <alignment horizontal="center" vertical="center"/>
    </xf>
    <xf numFmtId="166" fontId="14" fillId="10" borderId="7" xfId="8" applyNumberFormat="1" applyFont="1" applyFill="1" applyBorder="1" applyAlignment="1">
      <alignment horizontal="center" vertical="center"/>
    </xf>
    <xf numFmtId="166" fontId="14" fillId="10" borderId="1" xfId="8" applyNumberFormat="1" applyFont="1" applyFill="1" applyBorder="1" applyAlignment="1">
      <alignment horizontal="center" vertical="center"/>
    </xf>
    <xf numFmtId="3" fontId="15" fillId="10" borderId="40" xfId="8" applyNumberFormat="1" applyFont="1" applyFill="1" applyBorder="1" applyAlignment="1">
      <alignment horizontal="center" vertical="center"/>
    </xf>
    <xf numFmtId="3" fontId="15" fillId="10" borderId="7" xfId="8" applyNumberFormat="1" applyFont="1" applyFill="1" applyBorder="1" applyAlignment="1">
      <alignment horizontal="center" vertical="center"/>
    </xf>
    <xf numFmtId="3" fontId="15" fillId="10" borderId="1" xfId="8" applyNumberFormat="1" applyFont="1" applyFill="1" applyBorder="1" applyAlignment="1">
      <alignment horizontal="center" vertical="center"/>
    </xf>
    <xf numFmtId="49" fontId="15" fillId="10" borderId="7" xfId="8" applyNumberFormat="1" applyFont="1" applyFill="1" applyBorder="1" applyAlignment="1">
      <alignment horizontal="center" vertical="center" wrapText="1"/>
    </xf>
    <xf numFmtId="0" fontId="15" fillId="10" borderId="1" xfId="8" applyNumberFormat="1" applyFont="1" applyFill="1" applyBorder="1" applyAlignment="1">
      <alignment horizontal="center" vertical="center" wrapText="1"/>
    </xf>
    <xf numFmtId="166" fontId="15" fillId="10" borderId="40" xfId="8" applyNumberFormat="1" applyFont="1" applyFill="1" applyBorder="1" applyAlignment="1">
      <alignment horizontal="center" vertical="center"/>
    </xf>
    <xf numFmtId="3" fontId="15" fillId="10" borderId="21" xfId="8" applyNumberFormat="1" applyFont="1" applyFill="1" applyBorder="1" applyAlignment="1">
      <alignment horizontal="center" vertical="center"/>
    </xf>
    <xf numFmtId="49" fontId="15" fillId="10" borderId="21" xfId="8" applyNumberFormat="1" applyFont="1" applyFill="1" applyBorder="1" applyAlignment="1">
      <alignment horizontal="center" vertical="center" wrapText="1"/>
    </xf>
    <xf numFmtId="166" fontId="15" fillId="10" borderId="7" xfId="8" applyNumberFormat="1" applyFont="1" applyFill="1" applyBorder="1" applyAlignment="1">
      <alignment horizontal="center" vertical="center"/>
    </xf>
    <xf numFmtId="166" fontId="15" fillId="10" borderId="1" xfId="8" applyNumberFormat="1" applyFont="1" applyFill="1" applyBorder="1" applyAlignment="1">
      <alignment horizontal="center" vertical="center"/>
    </xf>
    <xf numFmtId="0" fontId="14" fillId="0" borderId="6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left" vertical="center" wrapText="1" indent="1"/>
    </xf>
    <xf numFmtId="3" fontId="14" fillId="10" borderId="47" xfId="8" applyNumberFormat="1" applyFont="1" applyFill="1" applyBorder="1" applyAlignment="1">
      <alignment horizontal="center" vertical="center"/>
    </xf>
    <xf numFmtId="3" fontId="14" fillId="10" borderId="6" xfId="9" applyNumberFormat="1" applyFont="1" applyFill="1" applyBorder="1" applyAlignment="1">
      <alignment horizontal="center" vertical="center" wrapText="1"/>
    </xf>
    <xf numFmtId="3" fontId="14" fillId="10" borderId="2" xfId="9" applyNumberFormat="1" applyFont="1" applyFill="1" applyBorder="1" applyAlignment="1">
      <alignment horizontal="center" vertical="center" wrapText="1"/>
    </xf>
    <xf numFmtId="3" fontId="14" fillId="0" borderId="2" xfId="9" applyNumberFormat="1" applyFont="1" applyFill="1" applyBorder="1" applyAlignment="1">
      <alignment horizontal="center" vertical="center" wrapText="1"/>
    </xf>
    <xf numFmtId="167" fontId="14" fillId="0" borderId="4" xfId="2" applyNumberFormat="1" applyFont="1" applyFill="1" applyBorder="1" applyAlignment="1">
      <alignment horizontal="center" vertical="center" wrapText="1"/>
    </xf>
    <xf numFmtId="3" fontId="14" fillId="10" borderId="48" xfId="9" applyNumberFormat="1" applyFont="1" applyFill="1" applyBorder="1" applyAlignment="1">
      <alignment horizontal="center" vertical="center" wrapText="1"/>
    </xf>
    <xf numFmtId="3" fontId="14" fillId="10" borderId="6" xfId="8" applyNumberFormat="1" applyFont="1" applyFill="1" applyBorder="1" applyAlignment="1">
      <alignment horizontal="center" vertical="center"/>
    </xf>
    <xf numFmtId="3" fontId="14" fillId="10" borderId="2" xfId="8" applyNumberFormat="1" applyFont="1" applyFill="1" applyBorder="1" applyAlignment="1">
      <alignment horizontal="center" vertical="center"/>
    </xf>
    <xf numFmtId="165" fontId="17" fillId="10" borderId="2" xfId="0" applyNumberFormat="1" applyFont="1" applyFill="1" applyBorder="1" applyAlignment="1">
      <alignment horizontal="center" vertical="center"/>
    </xf>
    <xf numFmtId="165" fontId="18" fillId="10" borderId="1" xfId="0" applyNumberFormat="1" applyFont="1" applyFill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4" xfId="2" applyNumberFormat="1" applyFont="1" applyFill="1" applyBorder="1" applyAlignment="1">
      <alignment horizontal="center" vertical="center"/>
    </xf>
    <xf numFmtId="9" fontId="17" fillId="0" borderId="4" xfId="2" applyFont="1" applyFill="1" applyBorder="1" applyAlignment="1">
      <alignment horizontal="center" vertical="center"/>
    </xf>
    <xf numFmtId="49" fontId="18" fillId="0" borderId="7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1" xfId="1" applyNumberFormat="1" applyFont="1" applyFill="1" applyBorder="1" applyAlignment="1">
      <alignment horizontal="center" vertical="center"/>
    </xf>
    <xf numFmtId="49" fontId="18" fillId="0" borderId="42" xfId="0" applyNumberFormat="1" applyFont="1" applyBorder="1" applyAlignment="1">
      <alignment horizontal="center" vertical="center"/>
    </xf>
    <xf numFmtId="165" fontId="18" fillId="0" borderId="43" xfId="0" applyNumberFormat="1" applyFont="1" applyBorder="1" applyAlignment="1">
      <alignment horizontal="center" vertical="center"/>
    </xf>
    <xf numFmtId="165" fontId="18" fillId="0" borderId="43" xfId="1" applyNumberFormat="1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left" vertical="center" indent="2"/>
    </xf>
    <xf numFmtId="165" fontId="6" fillId="0" borderId="0" xfId="0" applyNumberFormat="1" applyFont="1"/>
    <xf numFmtId="0" fontId="50" fillId="0" borderId="0" xfId="0" applyFont="1"/>
    <xf numFmtId="0" fontId="25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6" fillId="0" borderId="5" xfId="2" applyNumberFormat="1" applyFont="1" applyFill="1" applyBorder="1" applyAlignment="1">
      <alignment horizontal="center" vertical="center" wrapText="1"/>
    </xf>
    <xf numFmtId="167" fontId="14" fillId="0" borderId="50" xfId="2" applyNumberFormat="1" applyFont="1" applyFill="1" applyBorder="1" applyAlignment="1">
      <alignment horizontal="center" vertical="center" wrapText="1"/>
    </xf>
    <xf numFmtId="0" fontId="16" fillId="0" borderId="41" xfId="2" applyNumberFormat="1" applyFont="1" applyFill="1" applyBorder="1" applyAlignment="1">
      <alignment horizontal="center" vertical="center" wrapText="1"/>
    </xf>
    <xf numFmtId="168" fontId="17" fillId="0" borderId="1" xfId="0" applyNumberFormat="1" applyFont="1" applyBorder="1" applyAlignment="1">
      <alignment horizontal="center" vertical="center" wrapText="1"/>
    </xf>
    <xf numFmtId="168" fontId="20" fillId="0" borderId="2" xfId="0" applyNumberFormat="1" applyFont="1" applyBorder="1" applyAlignment="1">
      <alignment horizontal="center" vertical="center" wrapText="1"/>
    </xf>
    <xf numFmtId="168" fontId="20" fillId="10" borderId="2" xfId="0" applyNumberFormat="1" applyFont="1" applyFill="1" applyBorder="1" applyAlignment="1">
      <alignment horizontal="center" vertical="center" wrapText="1"/>
    </xf>
    <xf numFmtId="168" fontId="20" fillId="10" borderId="1" xfId="0" applyNumberFormat="1" applyFont="1" applyFill="1" applyBorder="1" applyAlignment="1">
      <alignment horizontal="center" vertical="center"/>
    </xf>
    <xf numFmtId="168" fontId="18" fillId="10" borderId="1" xfId="0" applyNumberFormat="1" applyFont="1" applyFill="1" applyBorder="1" applyAlignment="1">
      <alignment horizontal="center" vertical="center"/>
    </xf>
    <xf numFmtId="165" fontId="27" fillId="0" borderId="0" xfId="0" applyNumberFormat="1" applyFont="1" applyAlignment="1">
      <alignment horizontal="right" vertical="center"/>
    </xf>
    <xf numFmtId="165" fontId="24" fillId="0" borderId="0" xfId="0" applyNumberFormat="1" applyFont="1" applyAlignment="1">
      <alignment horizontal="right"/>
    </xf>
    <xf numFmtId="165" fontId="12" fillId="0" borderId="3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 wrapText="1"/>
    </xf>
    <xf numFmtId="167" fontId="12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9" fontId="12" fillId="10" borderId="4" xfId="2" applyNumberFormat="1" applyFont="1" applyFill="1" applyBorder="1" applyAlignment="1">
      <alignment horizontal="center" vertical="center"/>
    </xf>
    <xf numFmtId="169" fontId="11" fillId="0" borderId="4" xfId="2" applyNumberFormat="1" applyFont="1" applyBorder="1" applyAlignment="1">
      <alignment horizontal="center" vertical="center"/>
    </xf>
    <xf numFmtId="169" fontId="11" fillId="10" borderId="4" xfId="2" applyNumberFormat="1" applyFont="1" applyFill="1" applyBorder="1" applyAlignment="1">
      <alignment horizontal="center" vertical="center"/>
    </xf>
    <xf numFmtId="169" fontId="11" fillId="10" borderId="25" xfId="2" applyNumberFormat="1" applyFont="1" applyFill="1" applyBorder="1" applyAlignment="1">
      <alignment horizontal="center" vertical="center"/>
    </xf>
    <xf numFmtId="165" fontId="12" fillId="10" borderId="2" xfId="0" applyNumberFormat="1" applyFont="1" applyFill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10" borderId="2" xfId="0" applyNumberFormat="1" applyFont="1" applyFill="1" applyBorder="1" applyAlignment="1">
      <alignment horizontal="center" vertical="center"/>
    </xf>
    <xf numFmtId="165" fontId="11" fillId="10" borderId="24" xfId="0" applyNumberFormat="1" applyFont="1" applyFill="1" applyBorder="1" applyAlignment="1">
      <alignment horizontal="center" vertical="center"/>
    </xf>
    <xf numFmtId="167" fontId="12" fillId="10" borderId="4" xfId="2" applyNumberFormat="1" applyFont="1" applyFill="1" applyBorder="1" applyAlignment="1">
      <alignment horizontal="center" vertical="center"/>
    </xf>
    <xf numFmtId="167" fontId="11" fillId="10" borderId="4" xfId="2" applyNumberFormat="1" applyFont="1" applyFill="1" applyBorder="1" applyAlignment="1">
      <alignment horizontal="center" vertical="center"/>
    </xf>
    <xf numFmtId="167" fontId="11" fillId="10" borderId="24" xfId="2" applyNumberFormat="1" applyFont="1" applyFill="1" applyBorder="1" applyAlignment="1">
      <alignment horizontal="center" vertical="center"/>
    </xf>
    <xf numFmtId="165" fontId="20" fillId="0" borderId="4" xfId="2" applyNumberFormat="1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165" fontId="20" fillId="0" borderId="5" xfId="2" applyNumberFormat="1" applyFont="1" applyBorder="1" applyAlignment="1">
      <alignment horizontal="center" vertical="center"/>
    </xf>
    <xf numFmtId="165" fontId="20" fillId="0" borderId="5" xfId="0" applyNumberFormat="1" applyFont="1" applyBorder="1" applyAlignment="1">
      <alignment horizontal="center" vertical="center"/>
    </xf>
    <xf numFmtId="167" fontId="18" fillId="0" borderId="4" xfId="2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65" fontId="17" fillId="0" borderId="18" xfId="0" applyNumberFormat="1" applyFont="1" applyBorder="1" applyAlignment="1">
      <alignment horizontal="center" vertical="center"/>
    </xf>
    <xf numFmtId="165" fontId="17" fillId="0" borderId="20" xfId="2" applyNumberFormat="1" applyFont="1" applyBorder="1" applyAlignment="1">
      <alignment horizontal="center" vertical="center"/>
    </xf>
    <xf numFmtId="165" fontId="17" fillId="0" borderId="17" xfId="2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165" fontId="20" fillId="10" borderId="22" xfId="0" applyNumberFormat="1" applyFont="1" applyFill="1" applyBorder="1" applyAlignment="1">
      <alignment horizontal="center" vertical="center"/>
    </xf>
    <xf numFmtId="165" fontId="20" fillId="10" borderId="21" xfId="2" applyNumberFormat="1" applyFont="1" applyFill="1" applyBorder="1" applyAlignment="1">
      <alignment horizontal="center" vertical="center"/>
    </xf>
    <xf numFmtId="165" fontId="20" fillId="10" borderId="7" xfId="2" applyNumberFormat="1" applyFont="1" applyFill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22" xfId="0" applyNumberFormat="1" applyFont="1" applyBorder="1" applyAlignment="1">
      <alignment horizontal="center" vertical="center"/>
    </xf>
    <xf numFmtId="165" fontId="20" fillId="0" borderId="21" xfId="2" applyNumberFormat="1" applyFont="1" applyFill="1" applyBorder="1" applyAlignment="1">
      <alignment horizontal="center" vertical="center"/>
    </xf>
    <xf numFmtId="165" fontId="20" fillId="0" borderId="7" xfId="2" applyNumberFormat="1" applyFont="1" applyFill="1" applyBorder="1" applyAlignment="1">
      <alignment horizontal="center" vertical="center"/>
    </xf>
    <xf numFmtId="169" fontId="20" fillId="10" borderId="21" xfId="0" applyNumberFormat="1" applyFont="1" applyFill="1" applyBorder="1" applyAlignment="1">
      <alignment horizontal="center" vertical="center"/>
    </xf>
    <xf numFmtId="169" fontId="20" fillId="0" borderId="21" xfId="0" applyNumberFormat="1" applyFont="1" applyBorder="1" applyAlignment="1">
      <alignment horizontal="center" vertical="center"/>
    </xf>
    <xf numFmtId="167" fontId="20" fillId="0" borderId="41" xfId="2" applyNumberFormat="1" applyFont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65" fontId="17" fillId="0" borderId="22" xfId="2" applyNumberFormat="1" applyFont="1" applyBorder="1" applyAlignment="1">
      <alignment horizontal="center" vertical="center"/>
    </xf>
    <xf numFmtId="165" fontId="20" fillId="0" borderId="22" xfId="2" applyNumberFormat="1" applyFont="1" applyBorder="1" applyAlignment="1">
      <alignment horizontal="center" vertical="center"/>
    </xf>
    <xf numFmtId="165" fontId="17" fillId="0" borderId="0" xfId="0" applyNumberFormat="1" applyFont="1"/>
    <xf numFmtId="165" fontId="20" fillId="0" borderId="0" xfId="0" applyNumberFormat="1" applyFont="1"/>
    <xf numFmtId="167" fontId="6" fillId="0" borderId="0" xfId="0" applyNumberFormat="1" applyFont="1"/>
    <xf numFmtId="167" fontId="9" fillId="0" borderId="0" xfId="0" applyNumberFormat="1" applyFont="1" applyAlignment="1">
      <alignment horizontal="center" vertical="center"/>
    </xf>
    <xf numFmtId="0" fontId="52" fillId="0" borderId="0" xfId="14" applyFont="1" applyAlignment="1">
      <alignment horizontal="center" vertical="center" wrapText="1"/>
    </xf>
    <xf numFmtId="0" fontId="52" fillId="0" borderId="0" xfId="14" applyFont="1" applyAlignment="1">
      <alignment horizontal="justify" vertical="center" wrapText="1"/>
    </xf>
    <xf numFmtId="170" fontId="53" fillId="0" borderId="0" xfId="14" applyNumberFormat="1" applyFont="1" applyAlignment="1">
      <alignment horizontal="center" vertical="center" wrapText="1"/>
    </xf>
    <xf numFmtId="0" fontId="52" fillId="0" borderId="0" xfId="14" applyFont="1" applyAlignment="1">
      <alignment vertical="center" wrapText="1"/>
    </xf>
    <xf numFmtId="0" fontId="54" fillId="0" borderId="0" xfId="0" applyFont="1" applyAlignment="1">
      <alignment horizontal="right" vertical="center"/>
    </xf>
    <xf numFmtId="1" fontId="55" fillId="0" borderId="0" xfId="14" applyNumberFormat="1" applyFont="1" applyAlignment="1">
      <alignment vertical="center" wrapText="1"/>
    </xf>
    <xf numFmtId="1" fontId="55" fillId="0" borderId="0" xfId="14" applyNumberFormat="1" applyFont="1" applyAlignment="1">
      <alignment horizontal="justify" vertical="center" wrapText="1"/>
    </xf>
    <xf numFmtId="1" fontId="56" fillId="0" borderId="0" xfId="14" applyNumberFormat="1" applyFont="1" applyAlignment="1">
      <alignment horizontal="right" vertical="center"/>
    </xf>
    <xf numFmtId="0" fontId="53" fillId="2" borderId="56" xfId="14" applyFont="1" applyFill="1" applyBorder="1" applyAlignment="1">
      <alignment horizontal="center" vertical="center" wrapText="1"/>
    </xf>
    <xf numFmtId="0" fontId="58" fillId="2" borderId="56" xfId="0" applyFont="1" applyFill="1" applyBorder="1" applyAlignment="1">
      <alignment horizontal="center" vertical="center" wrapText="1"/>
    </xf>
    <xf numFmtId="0" fontId="53" fillId="0" borderId="0" xfId="14" applyFont="1" applyAlignment="1">
      <alignment horizontal="center" vertical="center" wrapText="1"/>
    </xf>
    <xf numFmtId="2" fontId="12" fillId="0" borderId="57" xfId="14" applyNumberFormat="1" applyFont="1" applyBorder="1" applyAlignment="1">
      <alignment vertical="center" wrapText="1"/>
    </xf>
    <xf numFmtId="0" fontId="12" fillId="0" borderId="57" xfId="15" applyFont="1" applyBorder="1" applyAlignment="1" applyProtection="1">
      <alignment vertical="center" wrapText="1"/>
      <protection locked="0"/>
    </xf>
    <xf numFmtId="0" fontId="53" fillId="0" borderId="57" xfId="14" applyFont="1" applyBorder="1" applyAlignment="1">
      <alignment horizontal="center" vertical="center" wrapText="1"/>
    </xf>
    <xf numFmtId="2" fontId="23" fillId="0" borderId="0" xfId="14" applyNumberFormat="1" applyFont="1" applyAlignment="1">
      <alignment horizontal="center" vertical="center" wrapText="1"/>
    </xf>
    <xf numFmtId="2" fontId="13" fillId="0" borderId="7" xfId="14" applyNumberFormat="1" applyFont="1" applyBorder="1" applyAlignment="1">
      <alignment horizontal="center" vertical="center" wrapText="1"/>
    </xf>
    <xf numFmtId="0" fontId="13" fillId="0" borderId="1" xfId="5" applyFont="1" applyBorder="1" applyAlignment="1">
      <alignment horizontal="left" vertical="center" wrapText="1" indent="3"/>
    </xf>
    <xf numFmtId="166" fontId="13" fillId="10" borderId="1" xfId="16" applyNumberFormat="1" applyFont="1" applyFill="1" applyBorder="1" applyAlignment="1">
      <alignment horizontal="center" vertical="center" wrapText="1"/>
    </xf>
    <xf numFmtId="9" fontId="59" fillId="0" borderId="1" xfId="16" applyNumberFormat="1" applyFont="1" applyBorder="1" applyAlignment="1">
      <alignment horizontal="center" vertical="center" wrapText="1"/>
    </xf>
    <xf numFmtId="166" fontId="13" fillId="10" borderId="5" xfId="16" applyNumberFormat="1" applyFont="1" applyFill="1" applyBorder="1" applyAlignment="1">
      <alignment horizontal="center" vertical="center" wrapText="1"/>
    </xf>
    <xf numFmtId="0" fontId="55" fillId="0" borderId="0" xfId="14" applyFont="1" applyAlignment="1">
      <alignment vertical="center" wrapText="1"/>
    </xf>
    <xf numFmtId="0" fontId="23" fillId="0" borderId="0" xfId="14" applyFont="1" applyAlignment="1">
      <alignment vertical="center" wrapText="1"/>
    </xf>
    <xf numFmtId="166" fontId="60" fillId="10" borderId="1" xfId="16" applyNumberFormat="1" applyFont="1" applyFill="1" applyBorder="1" applyAlignment="1">
      <alignment horizontal="center" vertical="center" wrapText="1"/>
    </xf>
    <xf numFmtId="166" fontId="59" fillId="10" borderId="5" xfId="16" applyNumberFormat="1" applyFont="1" applyFill="1" applyBorder="1" applyAlignment="1">
      <alignment horizontal="center" vertical="center" wrapText="1"/>
    </xf>
    <xf numFmtId="166" fontId="13" fillId="10" borderId="1" xfId="5" applyNumberFormat="1" applyFont="1" applyFill="1" applyBorder="1" applyAlignment="1">
      <alignment horizontal="center" vertical="center" wrapText="1"/>
    </xf>
    <xf numFmtId="9" fontId="56" fillId="0" borderId="1" xfId="18" applyFont="1" applyFill="1" applyBorder="1" applyAlignment="1">
      <alignment horizontal="center" vertical="center" wrapText="1"/>
    </xf>
    <xf numFmtId="0" fontId="61" fillId="0" borderId="0" xfId="14" applyFont="1" applyAlignment="1">
      <alignment vertical="center" wrapText="1"/>
    </xf>
    <xf numFmtId="0" fontId="17" fillId="2" borderId="38" xfId="7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23" fillId="3" borderId="15" xfId="0" applyFont="1" applyFill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/>
    </xf>
    <xf numFmtId="0" fontId="26" fillId="0" borderId="0" xfId="0" applyFont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11" fillId="0" borderId="5" xfId="0" applyFont="1" applyBorder="1" applyAlignment="1">
      <alignment horizontal="left" vertical="center" indent="3"/>
    </xf>
    <xf numFmtId="0" fontId="11" fillId="10" borderId="5" xfId="0" applyFont="1" applyFill="1" applyBorder="1" applyAlignment="1">
      <alignment horizontal="left" vertical="center" indent="1"/>
    </xf>
    <xf numFmtId="49" fontId="25" fillId="3" borderId="8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left" vertical="center" wrapText="1" indent="3"/>
    </xf>
    <xf numFmtId="0" fontId="17" fillId="0" borderId="49" xfId="0" applyFont="1" applyBorder="1" applyAlignment="1">
      <alignment horizontal="left" vertical="center" wrapText="1" indent="1"/>
    </xf>
    <xf numFmtId="165" fontId="17" fillId="0" borderId="48" xfId="2" applyNumberFormat="1" applyFont="1" applyBorder="1" applyAlignment="1">
      <alignment horizontal="center" vertical="center"/>
    </xf>
    <xf numFmtId="167" fontId="17" fillId="0" borderId="2" xfId="0" applyNumberFormat="1" applyFont="1" applyBorder="1" applyAlignment="1">
      <alignment horizontal="center" vertical="center"/>
    </xf>
    <xf numFmtId="167" fontId="17" fillId="0" borderId="74" xfId="2" applyNumberFormat="1" applyFont="1" applyBorder="1" applyAlignment="1">
      <alignment horizontal="center" vertical="center"/>
    </xf>
    <xf numFmtId="165" fontId="17" fillId="0" borderId="6" xfId="2" applyNumberFormat="1" applyFont="1" applyBorder="1" applyAlignment="1">
      <alignment horizontal="center" vertical="center"/>
    </xf>
    <xf numFmtId="0" fontId="18" fillId="0" borderId="0" xfId="7" applyFont="1"/>
    <xf numFmtId="0" fontId="37" fillId="0" borderId="4" xfId="7" applyFont="1" applyBorder="1" applyAlignment="1">
      <alignment horizontal="center" vertical="center" wrapText="1"/>
    </xf>
    <xf numFmtId="0" fontId="65" fillId="0" borderId="0" xfId="7" applyFont="1"/>
    <xf numFmtId="165" fontId="20" fillId="0" borderId="5" xfId="2" applyNumberFormat="1" applyFont="1" applyFill="1" applyBorder="1" applyAlignment="1">
      <alignment horizontal="center" vertical="center"/>
    </xf>
    <xf numFmtId="165" fontId="20" fillId="0" borderId="44" xfId="2" applyNumberFormat="1" applyFont="1" applyFill="1" applyBorder="1" applyAlignment="1">
      <alignment horizontal="center" vertical="center"/>
    </xf>
    <xf numFmtId="165" fontId="20" fillId="0" borderId="44" xfId="0" applyNumberFormat="1" applyFont="1" applyBorder="1" applyAlignment="1">
      <alignment horizontal="center" vertical="center"/>
    </xf>
    <xf numFmtId="167" fontId="17" fillId="0" borderId="4" xfId="2" applyNumberFormat="1" applyFont="1" applyBorder="1" applyAlignment="1">
      <alignment horizontal="center" vertical="center"/>
    </xf>
    <xf numFmtId="167" fontId="18" fillId="0" borderId="1" xfId="2" applyNumberFormat="1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49" fontId="12" fillId="3" borderId="8" xfId="0" applyNumberFormat="1" applyFont="1" applyFill="1" applyBorder="1" applyAlignment="1">
      <alignment horizontal="center" vertical="center"/>
    </xf>
    <xf numFmtId="165" fontId="12" fillId="3" borderId="9" xfId="0" applyNumberFormat="1" applyFont="1" applyFill="1" applyBorder="1" applyAlignment="1">
      <alignment horizontal="center" vertical="center"/>
    </xf>
    <xf numFmtId="165" fontId="12" fillId="3" borderId="10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165" fontId="26" fillId="0" borderId="0" xfId="0" applyNumberFormat="1" applyFont="1" applyAlignment="1">
      <alignment vertical="center"/>
    </xf>
    <xf numFmtId="165" fontId="12" fillId="0" borderId="28" xfId="0" applyNumberFormat="1" applyFont="1" applyBorder="1" applyAlignment="1">
      <alignment horizontal="center" vertical="center"/>
    </xf>
    <xf numFmtId="165" fontId="12" fillId="0" borderId="28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/>
    </xf>
    <xf numFmtId="167" fontId="11" fillId="0" borderId="25" xfId="0" applyNumberFormat="1" applyFont="1" applyBorder="1" applyAlignment="1">
      <alignment horizontal="center" vertical="center"/>
    </xf>
    <xf numFmtId="167" fontId="20" fillId="0" borderId="4" xfId="0" applyNumberFormat="1" applyFont="1" applyBorder="1" applyAlignment="1">
      <alignment horizontal="center" vertical="center"/>
    </xf>
    <xf numFmtId="167" fontId="17" fillId="0" borderId="4" xfId="0" applyNumberFormat="1" applyFont="1" applyBorder="1" applyAlignment="1">
      <alignment horizontal="center" vertical="center"/>
    </xf>
    <xf numFmtId="167" fontId="17" fillId="0" borderId="5" xfId="0" applyNumberFormat="1" applyFont="1" applyBorder="1" applyAlignment="1">
      <alignment horizontal="center" vertical="center"/>
    </xf>
    <xf numFmtId="167" fontId="20" fillId="0" borderId="5" xfId="0" applyNumberFormat="1" applyFont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 wrapText="1"/>
    </xf>
    <xf numFmtId="167" fontId="20" fillId="0" borderId="5" xfId="2" applyNumberFormat="1" applyFont="1" applyBorder="1" applyAlignment="1">
      <alignment horizontal="center" vertical="center"/>
    </xf>
    <xf numFmtId="167" fontId="25" fillId="3" borderId="10" xfId="0" applyNumberFormat="1" applyFont="1" applyFill="1" applyBorder="1" applyAlignment="1">
      <alignment horizontal="center" vertical="center" wrapText="1"/>
    </xf>
    <xf numFmtId="0" fontId="13" fillId="0" borderId="0" xfId="0" applyFont="1"/>
    <xf numFmtId="3" fontId="66" fillId="0" borderId="0" xfId="0" applyNumberFormat="1" applyFont="1" applyAlignment="1">
      <alignment horizontal="center" vertical="center"/>
    </xf>
    <xf numFmtId="167" fontId="12" fillId="0" borderId="5" xfId="0" applyNumberFormat="1" applyFont="1" applyBorder="1"/>
    <xf numFmtId="169" fontId="11" fillId="10" borderId="21" xfId="0" applyNumberFormat="1" applyFont="1" applyFill="1" applyBorder="1"/>
    <xf numFmtId="169" fontId="11" fillId="10" borderId="1" xfId="0" applyNumberFormat="1" applyFont="1" applyFill="1" applyBorder="1"/>
    <xf numFmtId="167" fontId="11" fillId="0" borderId="5" xfId="0" applyNumberFormat="1" applyFont="1" applyBorder="1"/>
    <xf numFmtId="165" fontId="12" fillId="0" borderId="21" xfId="0" applyNumberFormat="1" applyFont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7" fontId="12" fillId="0" borderId="5" xfId="0" applyNumberFormat="1" applyFont="1" applyBorder="1" applyAlignment="1">
      <alignment vertical="center"/>
    </xf>
    <xf numFmtId="165" fontId="11" fillId="10" borderId="21" xfId="0" applyNumberFormat="1" applyFont="1" applyFill="1" applyBorder="1"/>
    <xf numFmtId="165" fontId="11" fillId="10" borderId="1" xfId="0" applyNumberFormat="1" applyFont="1" applyFill="1" applyBorder="1"/>
    <xf numFmtId="171" fontId="11" fillId="10" borderId="21" xfId="0" applyNumberFormat="1" applyFont="1" applyFill="1" applyBorder="1"/>
    <xf numFmtId="0" fontId="5" fillId="3" borderId="15" xfId="0" applyFont="1" applyFill="1" applyBorder="1" applyAlignment="1">
      <alignment horizontal="center" vertical="center" wrapText="1"/>
    </xf>
    <xf numFmtId="167" fontId="35" fillId="0" borderId="1" xfId="0" applyNumberFormat="1" applyFont="1" applyBorder="1" applyAlignment="1">
      <alignment horizontal="center" vertical="center" wrapText="1"/>
    </xf>
    <xf numFmtId="167" fontId="36" fillId="0" borderId="1" xfId="0" applyNumberFormat="1" applyFont="1" applyBorder="1" applyAlignment="1">
      <alignment horizontal="center" vertical="center"/>
    </xf>
    <xf numFmtId="167" fontId="37" fillId="0" borderId="1" xfId="0" applyNumberFormat="1" applyFont="1" applyBorder="1" applyAlignment="1">
      <alignment horizontal="center" vertical="center"/>
    </xf>
    <xf numFmtId="167" fontId="38" fillId="0" borderId="1" xfId="0" applyNumberFormat="1" applyFont="1" applyBorder="1" applyAlignment="1">
      <alignment horizontal="center" vertical="center"/>
    </xf>
    <xf numFmtId="167" fontId="35" fillId="0" borderId="5" xfId="0" applyNumberFormat="1" applyFont="1" applyBorder="1" applyAlignment="1">
      <alignment horizontal="center" vertical="center" wrapText="1"/>
    </xf>
    <xf numFmtId="167" fontId="36" fillId="0" borderId="5" xfId="0" applyNumberFormat="1" applyFont="1" applyBorder="1" applyAlignment="1">
      <alignment horizontal="center" vertical="center"/>
    </xf>
    <xf numFmtId="167" fontId="37" fillId="0" borderId="5" xfId="0" applyNumberFormat="1" applyFont="1" applyBorder="1" applyAlignment="1">
      <alignment horizontal="center" vertical="center"/>
    </xf>
    <xf numFmtId="167" fontId="38" fillId="0" borderId="5" xfId="0" applyNumberFormat="1" applyFont="1" applyBorder="1" applyAlignment="1">
      <alignment horizontal="center" vertical="center"/>
    </xf>
    <xf numFmtId="169" fontId="35" fillId="10" borderId="1" xfId="0" applyNumberFormat="1" applyFont="1" applyFill="1" applyBorder="1" applyAlignment="1">
      <alignment horizontal="center" vertical="center" wrapText="1"/>
    </xf>
    <xf numFmtId="169" fontId="35" fillId="0" borderId="1" xfId="0" applyNumberFormat="1" applyFont="1" applyBorder="1" applyAlignment="1">
      <alignment horizontal="center" vertical="center" wrapText="1"/>
    </xf>
    <xf numFmtId="169" fontId="38" fillId="10" borderId="1" xfId="0" applyNumberFormat="1" applyFont="1" applyFill="1" applyBorder="1" applyAlignment="1">
      <alignment horizontal="center" vertical="center"/>
    </xf>
    <xf numFmtId="167" fontId="17" fillId="10" borderId="4" xfId="0" applyNumberFormat="1" applyFont="1" applyFill="1" applyBorder="1" applyAlignment="1">
      <alignment horizontal="center" vertical="center"/>
    </xf>
    <xf numFmtId="167" fontId="20" fillId="0" borderId="4" xfId="0" applyNumberFormat="1" applyFont="1" applyBorder="1" applyAlignment="1">
      <alignment horizontal="left" vertical="center" indent="1"/>
    </xf>
    <xf numFmtId="167" fontId="20" fillId="10" borderId="4" xfId="0" applyNumberFormat="1" applyFont="1" applyFill="1" applyBorder="1" applyAlignment="1">
      <alignment horizontal="left" vertical="center" indent="1"/>
    </xf>
    <xf numFmtId="167" fontId="20" fillId="10" borderId="4" xfId="0" applyNumberFormat="1" applyFont="1" applyFill="1" applyBorder="1" applyAlignment="1">
      <alignment horizontal="center" vertical="center"/>
    </xf>
    <xf numFmtId="167" fontId="20" fillId="10" borderId="5" xfId="0" applyNumberFormat="1" applyFont="1" applyFill="1" applyBorder="1" applyAlignment="1">
      <alignment horizontal="center" vertical="center"/>
    </xf>
    <xf numFmtId="167" fontId="18" fillId="10" borderId="5" xfId="0" applyNumberFormat="1" applyFont="1" applyFill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6" fillId="0" borderId="0" xfId="11" applyFont="1"/>
    <xf numFmtId="0" fontId="70" fillId="0" borderId="0" xfId="11" applyFont="1" applyAlignment="1">
      <alignment horizontal="center" vertical="center"/>
    </xf>
    <xf numFmtId="4" fontId="6" fillId="0" borderId="0" xfId="11" applyNumberFormat="1" applyFont="1"/>
    <xf numFmtId="0" fontId="71" fillId="7" borderId="38" xfId="11" applyFont="1" applyFill="1" applyBorder="1" applyAlignment="1">
      <alignment horizontal="center" vertical="center" wrapText="1"/>
    </xf>
    <xf numFmtId="166" fontId="72" fillId="8" borderId="38" xfId="12" applyNumberFormat="1" applyFont="1" applyFill="1" applyBorder="1" applyAlignment="1">
      <alignment horizontal="center" vertical="center"/>
    </xf>
    <xf numFmtId="9" fontId="72" fillId="8" borderId="38" xfId="12" applyFont="1" applyFill="1" applyBorder="1" applyAlignment="1">
      <alignment horizontal="center" vertical="center"/>
    </xf>
    <xf numFmtId="3" fontId="72" fillId="8" borderId="38" xfId="12" applyNumberFormat="1" applyFont="1" applyFill="1" applyBorder="1" applyAlignment="1">
      <alignment horizontal="center" vertical="center"/>
    </xf>
    <xf numFmtId="3" fontId="73" fillId="8" borderId="38" xfId="13" applyNumberFormat="1" applyFont="1" applyFill="1" applyBorder="1" applyAlignment="1">
      <alignment horizontal="center" vertical="center" wrapText="1"/>
    </xf>
    <xf numFmtId="0" fontId="6" fillId="9" borderId="0" xfId="11" applyFont="1" applyFill="1"/>
    <xf numFmtId="0" fontId="74" fillId="9" borderId="38" xfId="11" applyFont="1" applyFill="1" applyBorder="1" applyAlignment="1">
      <alignment horizontal="center" vertical="center"/>
    </xf>
    <xf numFmtId="0" fontId="74" fillId="9" borderId="38" xfId="11" applyFont="1" applyFill="1" applyBorder="1" applyAlignment="1">
      <alignment horizontal="left" vertical="center" wrapText="1"/>
    </xf>
    <xf numFmtId="0" fontId="74" fillId="0" borderId="38" xfId="11" applyFont="1" applyBorder="1" applyAlignment="1">
      <alignment horizontal="center" vertical="center" wrapText="1"/>
    </xf>
    <xf numFmtId="0" fontId="74" fillId="5" borderId="38" xfId="11" applyFont="1" applyFill="1" applyBorder="1" applyAlignment="1">
      <alignment horizontal="center" vertical="center" wrapText="1"/>
    </xf>
    <xf numFmtId="9" fontId="75" fillId="0" borderId="38" xfId="12" applyFont="1" applyFill="1" applyBorder="1" applyAlignment="1">
      <alignment horizontal="center" vertical="center" wrapText="1"/>
    </xf>
    <xf numFmtId="1" fontId="74" fillId="5" borderId="38" xfId="11" applyNumberFormat="1" applyFont="1" applyFill="1" applyBorder="1" applyAlignment="1">
      <alignment horizontal="center" vertical="center" wrapText="1"/>
    </xf>
    <xf numFmtId="166" fontId="75" fillId="0" borderId="38" xfId="13" applyNumberFormat="1" applyFont="1" applyFill="1" applyBorder="1" applyAlignment="1">
      <alignment horizontal="center" vertical="center" wrapText="1"/>
    </xf>
    <xf numFmtId="166" fontId="74" fillId="0" borderId="38" xfId="11" applyNumberFormat="1" applyFont="1" applyBorder="1" applyAlignment="1">
      <alignment horizontal="center" vertical="center" wrapText="1"/>
    </xf>
    <xf numFmtId="3" fontId="74" fillId="0" borderId="38" xfId="11" applyNumberFormat="1" applyFont="1" applyBorder="1" applyAlignment="1">
      <alignment horizontal="center" vertical="center" wrapText="1"/>
    </xf>
    <xf numFmtId="3" fontId="74" fillId="5" borderId="38" xfId="11" applyNumberFormat="1" applyFont="1" applyFill="1" applyBorder="1" applyAlignment="1">
      <alignment horizontal="center" vertical="center" wrapText="1"/>
    </xf>
    <xf numFmtId="166" fontId="75" fillId="5" borderId="38" xfId="13" applyNumberFormat="1" applyFont="1" applyFill="1" applyBorder="1" applyAlignment="1">
      <alignment horizontal="center" vertical="center" wrapText="1"/>
    </xf>
    <xf numFmtId="167" fontId="20" fillId="0" borderId="2" xfId="0" applyNumberFormat="1" applyFont="1" applyBorder="1" applyAlignment="1">
      <alignment horizontal="center" vertical="center"/>
    </xf>
    <xf numFmtId="165" fontId="20" fillId="0" borderId="0" xfId="2" applyNumberFormat="1" applyFont="1" applyFill="1" applyBorder="1" applyAlignment="1">
      <alignment horizontal="center" vertical="center"/>
    </xf>
    <xf numFmtId="165" fontId="17" fillId="0" borderId="0" xfId="2" applyNumberFormat="1" applyFont="1" applyFill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7" fillId="0" borderId="0" xfId="2" applyNumberFormat="1" applyFont="1" applyFill="1" applyBorder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7" fontId="20" fillId="0" borderId="0" xfId="2" applyNumberFormat="1" applyFont="1" applyFill="1" applyBorder="1" applyAlignment="1">
      <alignment horizontal="center" vertical="center"/>
    </xf>
    <xf numFmtId="165" fontId="17" fillId="10" borderId="0" xfId="2" applyNumberFormat="1" applyFont="1" applyFill="1" applyBorder="1" applyAlignment="1">
      <alignment horizontal="center" vertical="center"/>
    </xf>
    <xf numFmtId="165" fontId="20" fillId="10" borderId="0" xfId="2" applyNumberFormat="1" applyFont="1" applyFill="1" applyBorder="1" applyAlignment="1">
      <alignment horizontal="center" vertical="center"/>
    </xf>
    <xf numFmtId="0" fontId="76" fillId="5" borderId="49" xfId="0" applyFont="1" applyFill="1" applyBorder="1" applyAlignment="1">
      <alignment horizontal="left" vertical="center" indent="1"/>
    </xf>
    <xf numFmtId="49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 indent="1"/>
    </xf>
    <xf numFmtId="0" fontId="77" fillId="0" borderId="7" xfId="0" applyFont="1" applyBorder="1" applyAlignment="1">
      <alignment horizontal="center" vertical="center" wrapText="1"/>
    </xf>
    <xf numFmtId="0" fontId="5" fillId="0" borderId="0" xfId="0" applyFont="1"/>
    <xf numFmtId="9" fontId="77" fillId="0" borderId="33" xfId="0" applyNumberFormat="1" applyFont="1" applyBorder="1" applyAlignment="1">
      <alignment horizontal="center" vertical="center" wrapText="1"/>
    </xf>
    <xf numFmtId="0" fontId="77" fillId="0" borderId="31" xfId="0" applyFont="1" applyBorder="1" applyAlignment="1">
      <alignment horizontal="center" vertical="center" wrapText="1"/>
    </xf>
    <xf numFmtId="9" fontId="77" fillId="0" borderId="5" xfId="0" applyNumberFormat="1" applyFont="1" applyBorder="1" applyAlignment="1">
      <alignment horizontal="center" vertical="center" wrapText="1"/>
    </xf>
    <xf numFmtId="49" fontId="6" fillId="10" borderId="7" xfId="0" applyNumberFormat="1" applyFont="1" applyFill="1" applyBorder="1" applyAlignment="1">
      <alignment horizontal="center" vertical="center"/>
    </xf>
    <xf numFmtId="0" fontId="6" fillId="10" borderId="5" xfId="0" applyFont="1" applyFill="1" applyBorder="1"/>
    <xf numFmtId="0" fontId="6" fillId="10" borderId="1" xfId="0" applyFont="1" applyFill="1" applyBorder="1" applyAlignment="1">
      <alignment horizontal="center" vertical="center"/>
    </xf>
    <xf numFmtId="49" fontId="6" fillId="10" borderId="58" xfId="0" applyNumberFormat="1" applyFont="1" applyFill="1" applyBorder="1" applyAlignment="1">
      <alignment horizontal="center" vertical="center"/>
    </xf>
    <xf numFmtId="0" fontId="6" fillId="10" borderId="77" xfId="0" applyFont="1" applyFill="1" applyBorder="1"/>
    <xf numFmtId="0" fontId="6" fillId="10" borderId="78" xfId="0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6" fillId="10" borderId="79" xfId="0" applyFont="1" applyFill="1" applyBorder="1" applyAlignment="1">
      <alignment horizontal="center" vertical="center"/>
    </xf>
    <xf numFmtId="9" fontId="34" fillId="0" borderId="33" xfId="2" applyFont="1" applyBorder="1" applyAlignment="1">
      <alignment horizontal="center" vertical="center" wrapText="1"/>
    </xf>
    <xf numFmtId="9" fontId="34" fillId="0" borderId="5" xfId="2" applyFont="1" applyBorder="1" applyAlignment="1">
      <alignment horizontal="center" vertical="center" wrapText="1"/>
    </xf>
    <xf numFmtId="9" fontId="11" fillId="0" borderId="4" xfId="2" applyFont="1" applyFill="1" applyBorder="1" applyAlignment="1">
      <alignment horizontal="center" vertical="center"/>
    </xf>
    <xf numFmtId="9" fontId="11" fillId="0" borderId="4" xfId="0" applyNumberFormat="1" applyFont="1" applyBorder="1" applyAlignment="1">
      <alignment horizontal="center" vertical="center"/>
    </xf>
    <xf numFmtId="167" fontId="17" fillId="0" borderId="45" xfId="2" applyNumberFormat="1" applyFont="1" applyFill="1" applyBorder="1" applyAlignment="1">
      <alignment horizontal="center" vertical="center"/>
    </xf>
    <xf numFmtId="167" fontId="20" fillId="0" borderId="41" xfId="2" applyNumberFormat="1" applyFont="1" applyFill="1" applyBorder="1" applyAlignment="1">
      <alignment horizontal="center" vertical="center"/>
    </xf>
    <xf numFmtId="167" fontId="17" fillId="0" borderId="19" xfId="2" applyNumberFormat="1" applyFont="1" applyFill="1" applyBorder="1" applyAlignment="1">
      <alignment horizontal="center" vertical="center"/>
    </xf>
    <xf numFmtId="167" fontId="20" fillId="0" borderId="5" xfId="2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17" fillId="10" borderId="1" xfId="0" applyNumberFormat="1" applyFont="1" applyFill="1" applyBorder="1" applyAlignment="1">
      <alignment horizontal="center" vertical="center" wrapText="1"/>
    </xf>
    <xf numFmtId="3" fontId="20" fillId="0" borderId="2" xfId="0" applyNumberFormat="1" applyFont="1" applyBorder="1" applyAlignment="1">
      <alignment horizontal="center" vertical="center" wrapText="1"/>
    </xf>
    <xf numFmtId="3" fontId="20" fillId="10" borderId="2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 indent="4"/>
    </xf>
    <xf numFmtId="172" fontId="20" fillId="10" borderId="1" xfId="0" applyNumberFormat="1" applyFont="1" applyFill="1" applyBorder="1" applyAlignment="1">
      <alignment horizontal="center" vertical="center"/>
    </xf>
    <xf numFmtId="172" fontId="18" fillId="10" borderId="1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 indent="1"/>
    </xf>
    <xf numFmtId="172" fontId="17" fillId="10" borderId="1" xfId="0" applyNumberFormat="1" applyFont="1" applyFill="1" applyBorder="1" applyAlignment="1">
      <alignment horizontal="center" vertical="center"/>
    </xf>
    <xf numFmtId="9" fontId="17" fillId="0" borderId="5" xfId="2" applyFont="1" applyBorder="1" applyAlignment="1">
      <alignment horizontal="center" vertical="center"/>
    </xf>
    <xf numFmtId="9" fontId="17" fillId="0" borderId="5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 indent="1"/>
    </xf>
    <xf numFmtId="0" fontId="17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indent="5"/>
    </xf>
    <xf numFmtId="0" fontId="18" fillId="0" borderId="43" xfId="0" applyFont="1" applyBorder="1" applyAlignment="1">
      <alignment horizontal="left" vertical="center" indent="5"/>
    </xf>
    <xf numFmtId="0" fontId="12" fillId="3" borderId="26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/>
    </xf>
    <xf numFmtId="165" fontId="20" fillId="10" borderId="1" xfId="0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center" vertical="center"/>
    </xf>
    <xf numFmtId="0" fontId="78" fillId="0" borderId="0" xfId="0" applyFont="1"/>
    <xf numFmtId="169" fontId="17" fillId="10" borderId="1" xfId="0" applyNumberFormat="1" applyFont="1" applyFill="1" applyBorder="1" applyAlignment="1">
      <alignment horizontal="center" vertical="center"/>
    </xf>
    <xf numFmtId="169" fontId="20" fillId="10" borderId="1" xfId="0" applyNumberFormat="1" applyFont="1" applyFill="1" applyBorder="1" applyAlignment="1">
      <alignment horizontal="center" vertical="center"/>
    </xf>
    <xf numFmtId="169" fontId="18" fillId="10" borderId="1" xfId="0" applyNumberFormat="1" applyFont="1" applyFill="1" applyBorder="1" applyAlignment="1">
      <alignment horizontal="center" vertical="center"/>
    </xf>
    <xf numFmtId="9" fontId="18" fillId="0" borderId="1" xfId="2" applyFont="1" applyBorder="1" applyAlignment="1">
      <alignment horizontal="center" vertical="center"/>
    </xf>
    <xf numFmtId="165" fontId="20" fillId="0" borderId="2" xfId="0" applyNumberFormat="1" applyFont="1" applyBorder="1" applyAlignment="1">
      <alignment vertical="center"/>
    </xf>
    <xf numFmtId="0" fontId="20" fillId="10" borderId="1" xfId="0" applyFont="1" applyFill="1" applyBorder="1" applyAlignment="1">
      <alignment horizontal="left" vertical="center" wrapText="1" indent="2"/>
    </xf>
    <xf numFmtId="1" fontId="12" fillId="0" borderId="80" xfId="14" applyNumberFormat="1" applyFont="1" applyBorder="1" applyAlignment="1">
      <alignment horizontal="center" vertical="center" wrapText="1"/>
    </xf>
    <xf numFmtId="0" fontId="12" fillId="0" borderId="81" xfId="3" applyFont="1" applyBorder="1" applyAlignment="1">
      <alignment horizontal="left" vertical="center" wrapText="1" indent="1"/>
    </xf>
    <xf numFmtId="166" fontId="58" fillId="10" borderId="81" xfId="16" applyNumberFormat="1" applyFont="1" applyFill="1" applyBorder="1" applyAlignment="1">
      <alignment horizontal="center" vertical="center" wrapText="1"/>
    </xf>
    <xf numFmtId="9" fontId="58" fillId="0" borderId="81" xfId="16" applyNumberFormat="1" applyFont="1" applyBorder="1" applyAlignment="1">
      <alignment horizontal="center" vertical="center" wrapText="1"/>
    </xf>
    <xf numFmtId="9" fontId="58" fillId="10" borderId="81" xfId="2" applyFont="1" applyFill="1" applyBorder="1" applyAlignment="1">
      <alignment horizontal="center" vertical="center" wrapText="1"/>
    </xf>
    <xf numFmtId="166" fontId="58" fillId="10" borderId="82" xfId="16" applyNumberFormat="1" applyFont="1" applyFill="1" applyBorder="1" applyAlignment="1">
      <alignment horizontal="center" vertical="center" wrapText="1"/>
    </xf>
    <xf numFmtId="2" fontId="13" fillId="0" borderId="23" xfId="14" applyNumberFormat="1" applyFont="1" applyBorder="1" applyAlignment="1">
      <alignment horizontal="center" vertical="center" wrapText="1"/>
    </xf>
    <xf numFmtId="0" fontId="13" fillId="0" borderId="24" xfId="5" applyFont="1" applyBorder="1" applyAlignment="1">
      <alignment horizontal="left" vertical="center" wrapText="1" indent="3"/>
    </xf>
    <xf numFmtId="166" fontId="13" fillId="10" borderId="24" xfId="16" applyNumberFormat="1" applyFont="1" applyFill="1" applyBorder="1" applyAlignment="1">
      <alignment horizontal="center" vertical="center" wrapText="1"/>
    </xf>
    <xf numFmtId="9" fontId="59" fillId="0" borderId="24" xfId="16" applyNumberFormat="1" applyFont="1" applyBorder="1" applyAlignment="1">
      <alignment horizontal="center" vertical="center" wrapText="1"/>
    </xf>
    <xf numFmtId="9" fontId="60" fillId="10" borderId="24" xfId="2" applyFont="1" applyFill="1" applyBorder="1" applyAlignment="1">
      <alignment horizontal="center" vertical="center" wrapText="1"/>
    </xf>
    <xf numFmtId="166" fontId="13" fillId="10" borderId="25" xfId="16" applyNumberFormat="1" applyFont="1" applyFill="1" applyBorder="1" applyAlignment="1">
      <alignment horizontal="center" vertical="center" wrapText="1"/>
    </xf>
    <xf numFmtId="2" fontId="13" fillId="0" borderId="51" xfId="14" applyNumberFormat="1" applyFont="1" applyBorder="1" applyAlignment="1">
      <alignment horizontal="center" vertical="center" wrapText="1"/>
    </xf>
    <xf numFmtId="0" fontId="55" fillId="0" borderId="83" xfId="14" applyFont="1" applyBorder="1" applyAlignment="1">
      <alignment vertical="center" wrapText="1"/>
    </xf>
    <xf numFmtId="0" fontId="55" fillId="0" borderId="84" xfId="14" applyFont="1" applyBorder="1" applyAlignment="1">
      <alignment vertical="center" wrapText="1"/>
    </xf>
    <xf numFmtId="2" fontId="12" fillId="0" borderId="2" xfId="17" applyNumberFormat="1" applyFont="1" applyBorder="1" applyAlignment="1" applyProtection="1">
      <alignment horizontal="left" vertical="center" wrapText="1" indent="1"/>
      <protection locked="0"/>
    </xf>
    <xf numFmtId="2" fontId="23" fillId="0" borderId="81" xfId="17" applyNumberFormat="1" applyFont="1" applyBorder="1" applyAlignment="1" applyProtection="1">
      <alignment horizontal="left" vertical="center" wrapText="1" indent="1"/>
      <protection locked="0"/>
    </xf>
    <xf numFmtId="166" fontId="12" fillId="10" borderId="81" xfId="16" applyNumberFormat="1" applyFont="1" applyFill="1" applyBorder="1" applyAlignment="1">
      <alignment horizontal="center" vertical="center" wrapText="1"/>
    </xf>
    <xf numFmtId="2" fontId="12" fillId="0" borderId="81" xfId="17" applyNumberFormat="1" applyFont="1" applyBorder="1" applyAlignment="1" applyProtection="1">
      <alignment horizontal="left" vertical="center" wrapText="1" indent="1"/>
      <protection locked="0"/>
    </xf>
    <xf numFmtId="166" fontId="12" fillId="10" borderId="82" xfId="16" applyNumberFormat="1" applyFont="1" applyFill="1" applyBorder="1" applyAlignment="1">
      <alignment horizontal="center" vertical="center" wrapText="1"/>
    </xf>
    <xf numFmtId="9" fontId="13" fillId="10" borderId="24" xfId="2" applyFont="1" applyFill="1" applyBorder="1" applyAlignment="1">
      <alignment horizontal="center" vertical="center" wrapText="1"/>
    </xf>
    <xf numFmtId="166" fontId="12" fillId="10" borderId="81" xfId="17" applyNumberFormat="1" applyFont="1" applyFill="1" applyBorder="1" applyAlignment="1" applyProtection="1">
      <alignment horizontal="center" vertical="center" wrapText="1"/>
      <protection locked="0"/>
    </xf>
    <xf numFmtId="9" fontId="23" fillId="0" borderId="81" xfId="18" applyFont="1" applyFill="1" applyBorder="1" applyAlignment="1">
      <alignment horizontal="center" vertical="center" wrapText="1"/>
    </xf>
    <xf numFmtId="166" fontId="13" fillId="10" borderId="24" xfId="5" applyNumberFormat="1" applyFont="1" applyFill="1" applyBorder="1" applyAlignment="1">
      <alignment horizontal="center" vertical="center" wrapText="1"/>
    </xf>
    <xf numFmtId="9" fontId="56" fillId="0" borderId="24" xfId="18" applyFont="1" applyFill="1" applyBorder="1" applyAlignment="1">
      <alignment horizontal="center" vertical="center" wrapText="1"/>
    </xf>
    <xf numFmtId="166" fontId="60" fillId="10" borderId="24" xfId="16" applyNumberFormat="1" applyFont="1" applyFill="1" applyBorder="1" applyAlignment="1">
      <alignment horizontal="center" vertical="center" wrapText="1"/>
    </xf>
    <xf numFmtId="166" fontId="59" fillId="10" borderId="25" xfId="16" applyNumberFormat="1" applyFont="1" applyFill="1" applyBorder="1" applyAlignment="1">
      <alignment horizontal="center" vertical="center" wrapText="1"/>
    </xf>
    <xf numFmtId="1" fontId="12" fillId="0" borderId="6" xfId="14" applyNumberFormat="1" applyFont="1" applyBorder="1" applyAlignment="1">
      <alignment horizontal="center" vertical="center" wrapText="1"/>
    </xf>
    <xf numFmtId="166" fontId="13" fillId="10" borderId="2" xfId="16" applyNumberFormat="1" applyFont="1" applyFill="1" applyBorder="1" applyAlignment="1">
      <alignment horizontal="center" vertical="center" wrapText="1"/>
    </xf>
    <xf numFmtId="9" fontId="59" fillId="0" borderId="2" xfId="16" applyNumberFormat="1" applyFont="1" applyBorder="1" applyAlignment="1">
      <alignment horizontal="center" vertical="center" wrapText="1"/>
    </xf>
    <xf numFmtId="166" fontId="13" fillId="10" borderId="4" xfId="16" applyNumberFormat="1" applyFont="1" applyFill="1" applyBorder="1" applyAlignment="1">
      <alignment horizontal="center" vertical="center" wrapText="1"/>
    </xf>
    <xf numFmtId="0" fontId="62" fillId="0" borderId="81" xfId="5" applyFont="1" applyBorder="1" applyAlignment="1">
      <alignment horizontal="left" vertical="center" wrapText="1"/>
    </xf>
    <xf numFmtId="166" fontId="12" fillId="10" borderId="81" xfId="5" applyNumberFormat="1" applyFont="1" applyFill="1" applyBorder="1" applyAlignment="1">
      <alignment horizontal="center" vertical="center" wrapText="1"/>
    </xf>
    <xf numFmtId="166" fontId="11" fillId="10" borderId="81" xfId="5" applyNumberFormat="1" applyFont="1" applyFill="1" applyBorder="1" applyAlignment="1">
      <alignment horizontal="center" vertical="center" wrapText="1"/>
    </xf>
    <xf numFmtId="9" fontId="55" fillId="0" borderId="81" xfId="18" applyFont="1" applyFill="1" applyBorder="1" applyAlignment="1">
      <alignment horizontal="center" vertical="center" wrapText="1"/>
    </xf>
    <xf numFmtId="165" fontId="17" fillId="10" borderId="20" xfId="0" applyNumberFormat="1" applyFont="1" applyFill="1" applyBorder="1" applyAlignment="1">
      <alignment horizontal="center" vertical="center"/>
    </xf>
    <xf numFmtId="167" fontId="17" fillId="0" borderId="19" xfId="0" applyNumberFormat="1" applyFont="1" applyBorder="1" applyAlignment="1">
      <alignment horizontal="center" vertical="center"/>
    </xf>
    <xf numFmtId="165" fontId="20" fillId="10" borderId="21" xfId="0" applyNumberFormat="1" applyFont="1" applyFill="1" applyBorder="1" applyAlignment="1">
      <alignment horizontal="center" vertical="center"/>
    </xf>
    <xf numFmtId="167" fontId="18" fillId="0" borderId="22" xfId="0" applyNumberFormat="1" applyFont="1" applyBorder="1" applyAlignment="1">
      <alignment horizontal="center" vertical="center"/>
    </xf>
    <xf numFmtId="169" fontId="17" fillId="10" borderId="20" xfId="0" applyNumberFormat="1" applyFont="1" applyFill="1" applyBorder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 indent="3"/>
    </xf>
    <xf numFmtId="167" fontId="20" fillId="0" borderId="22" xfId="0" applyNumberFormat="1" applyFont="1" applyBorder="1" applyAlignment="1">
      <alignment horizontal="center" vertical="center"/>
    </xf>
    <xf numFmtId="49" fontId="24" fillId="0" borderId="51" xfId="0" applyNumberFormat="1" applyFont="1" applyBorder="1" applyAlignment="1">
      <alignment horizontal="center" vertical="center"/>
    </xf>
    <xf numFmtId="0" fontId="20" fillId="0" borderId="83" xfId="0" applyFont="1" applyBorder="1" applyAlignment="1">
      <alignment horizontal="left" vertical="center" wrapText="1" indent="4"/>
    </xf>
    <xf numFmtId="167" fontId="18" fillId="0" borderId="84" xfId="2" applyNumberFormat="1" applyFont="1" applyBorder="1" applyAlignment="1">
      <alignment horizontal="center" vertical="center"/>
    </xf>
    <xf numFmtId="167" fontId="18" fillId="0" borderId="84" xfId="0" applyNumberFormat="1" applyFont="1" applyBorder="1" applyAlignment="1">
      <alignment horizontal="center" vertical="center"/>
    </xf>
    <xf numFmtId="49" fontId="17" fillId="0" borderId="80" xfId="0" applyNumberFormat="1" applyFont="1" applyBorder="1" applyAlignment="1">
      <alignment horizontal="center" vertical="center"/>
    </xf>
    <xf numFmtId="0" fontId="17" fillId="0" borderId="81" xfId="0" applyFont="1" applyBorder="1" applyAlignment="1">
      <alignment horizontal="left" vertical="center" wrapText="1" indent="2"/>
    </xf>
    <xf numFmtId="165" fontId="17" fillId="10" borderId="81" xfId="0" applyNumberFormat="1" applyFont="1" applyFill="1" applyBorder="1" applyAlignment="1">
      <alignment horizontal="center" vertical="center"/>
    </xf>
    <xf numFmtId="165" fontId="17" fillId="0" borderId="82" xfId="2" applyNumberFormat="1" applyFont="1" applyBorder="1" applyAlignment="1">
      <alignment horizontal="center" vertical="center"/>
    </xf>
    <xf numFmtId="167" fontId="20" fillId="0" borderId="8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center" vertical="center"/>
    </xf>
    <xf numFmtId="169" fontId="5" fillId="10" borderId="5" xfId="0" applyNumberFormat="1" applyFont="1" applyFill="1" applyBorder="1" applyAlignment="1">
      <alignment vertical="center"/>
    </xf>
    <xf numFmtId="169" fontId="5" fillId="0" borderId="21" xfId="0" applyNumberFormat="1" applyFont="1" applyBorder="1"/>
    <xf numFmtId="169" fontId="5" fillId="10" borderId="1" xfId="0" applyNumberFormat="1" applyFont="1" applyFill="1" applyBorder="1"/>
    <xf numFmtId="167" fontId="5" fillId="0" borderId="5" xfId="0" applyNumberFormat="1" applyFont="1" applyBorder="1"/>
    <xf numFmtId="0" fontId="6" fillId="0" borderId="7" xfId="0" applyFont="1" applyBorder="1" applyAlignment="1">
      <alignment horizontal="center" vertical="center"/>
    </xf>
    <xf numFmtId="169" fontId="7" fillId="10" borderId="5" xfId="0" applyNumberFormat="1" applyFont="1" applyFill="1" applyBorder="1" applyAlignment="1">
      <alignment horizontal="left" vertical="center" indent="2"/>
    </xf>
    <xf numFmtId="169" fontId="6" fillId="0" borderId="21" xfId="0" applyNumberFormat="1" applyFont="1" applyBorder="1"/>
    <xf numFmtId="169" fontId="7" fillId="10" borderId="1" xfId="0" applyNumberFormat="1" applyFont="1" applyFill="1" applyBorder="1"/>
    <xf numFmtId="169" fontId="7" fillId="10" borderId="5" xfId="0" applyNumberFormat="1" applyFont="1" applyFill="1" applyBorder="1"/>
    <xf numFmtId="167" fontId="6" fillId="0" borderId="5" xfId="0" applyNumberFormat="1" applyFont="1" applyBorder="1"/>
    <xf numFmtId="169" fontId="6" fillId="10" borderId="5" xfId="0" applyNumberFormat="1" applyFont="1" applyFill="1" applyBorder="1" applyAlignment="1">
      <alignment horizontal="left" vertical="center" indent="2"/>
    </xf>
    <xf numFmtId="0" fontId="13" fillId="10" borderId="2" xfId="0" applyFont="1" applyFill="1" applyBorder="1" applyAlignment="1">
      <alignment horizontal="left" vertical="center" indent="3"/>
    </xf>
    <xf numFmtId="165" fontId="17" fillId="0" borderId="20" xfId="2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5" xfId="0" applyFont="1" applyBorder="1" applyAlignment="1">
      <alignment vertical="center" wrapText="1"/>
    </xf>
    <xf numFmtId="0" fontId="26" fillId="0" borderId="1" xfId="0" quotePrefix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 indent="2"/>
    </xf>
    <xf numFmtId="0" fontId="24" fillId="0" borderId="1" xfId="0" applyFont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3" fontId="23" fillId="0" borderId="1" xfId="0" applyNumberFormat="1" applyFont="1" applyBorder="1" applyAlignment="1">
      <alignment horizontal="center" vertical="center" wrapText="1"/>
    </xf>
    <xf numFmtId="167" fontId="23" fillId="0" borderId="1" xfId="0" applyNumberFormat="1" applyFont="1" applyBorder="1" applyAlignment="1">
      <alignment horizontal="center" vertical="center" wrapText="1"/>
    </xf>
    <xf numFmtId="167" fontId="23" fillId="0" borderId="5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0" fontId="23" fillId="0" borderId="1" xfId="0" applyNumberFormat="1" applyFont="1" applyBorder="1" applyAlignment="1">
      <alignment horizontal="center" vertical="center" wrapText="1"/>
    </xf>
    <xf numFmtId="3" fontId="23" fillId="10" borderId="1" xfId="0" applyNumberFormat="1" applyFont="1" applyFill="1" applyBorder="1" applyAlignment="1">
      <alignment horizontal="center" vertical="center"/>
    </xf>
    <xf numFmtId="167" fontId="23" fillId="10" borderId="1" xfId="0" applyNumberFormat="1" applyFont="1" applyFill="1" applyBorder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3" fontId="55" fillId="10" borderId="1" xfId="0" applyNumberFormat="1" applyFont="1" applyFill="1" applyBorder="1" applyAlignment="1">
      <alignment horizontal="center" vertical="center"/>
    </xf>
    <xf numFmtId="167" fontId="55" fillId="10" borderId="1" xfId="0" applyNumberFormat="1" applyFont="1" applyFill="1" applyBorder="1" applyAlignment="1">
      <alignment horizontal="center" vertical="center"/>
    </xf>
    <xf numFmtId="167" fontId="55" fillId="0" borderId="5" xfId="0" applyNumberFormat="1" applyFont="1" applyBorder="1" applyAlignment="1">
      <alignment horizontal="center" vertical="center"/>
    </xf>
    <xf numFmtId="0" fontId="34" fillId="0" borderId="0" xfId="0" applyFont="1"/>
    <xf numFmtId="167" fontId="55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left" vertical="center" wrapText="1" indent="2"/>
    </xf>
    <xf numFmtId="169" fontId="20" fillId="0" borderId="0" xfId="0" applyNumberFormat="1" applyFont="1"/>
    <xf numFmtId="169" fontId="17" fillId="10" borderId="18" xfId="0" applyNumberFormat="1" applyFont="1" applyFill="1" applyBorder="1" applyAlignment="1">
      <alignment horizontal="center" vertical="center"/>
    </xf>
    <xf numFmtId="165" fontId="20" fillId="10" borderId="2" xfId="0" applyNumberFormat="1" applyFont="1" applyFill="1" applyBorder="1" applyAlignment="1">
      <alignment vertical="center"/>
    </xf>
    <xf numFmtId="165" fontId="20" fillId="10" borderId="78" xfId="0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/>
    </xf>
    <xf numFmtId="169" fontId="17" fillId="0" borderId="20" xfId="0" applyNumberFormat="1" applyFont="1" applyBorder="1" applyAlignment="1">
      <alignment horizontal="center" vertical="center"/>
    </xf>
    <xf numFmtId="169" fontId="20" fillId="6" borderId="21" xfId="0" applyNumberFormat="1" applyFont="1" applyFill="1" applyBorder="1" applyAlignment="1">
      <alignment horizontal="center" vertical="center"/>
    </xf>
    <xf numFmtId="169" fontId="12" fillId="0" borderId="21" xfId="0" applyNumberFormat="1" applyFont="1" applyBorder="1"/>
    <xf numFmtId="169" fontId="12" fillId="0" borderId="1" xfId="0" applyNumberFormat="1" applyFont="1" applyBorder="1"/>
    <xf numFmtId="49" fontId="25" fillId="0" borderId="7" xfId="0" applyNumberFormat="1" applyFont="1" applyBorder="1" applyAlignment="1">
      <alignment horizontal="center" vertical="center"/>
    </xf>
    <xf numFmtId="49" fontId="80" fillId="0" borderId="7" xfId="0" applyNumberFormat="1" applyFont="1" applyBorder="1" applyAlignment="1">
      <alignment horizontal="center" vertical="center"/>
    </xf>
    <xf numFmtId="9" fontId="17" fillId="10" borderId="4" xfId="0" applyNumberFormat="1" applyFont="1" applyFill="1" applyBorder="1" applyAlignment="1">
      <alignment horizontal="center" vertical="center"/>
    </xf>
    <xf numFmtId="167" fontId="12" fillId="0" borderId="5" xfId="0" applyNumberFormat="1" applyFont="1" applyBorder="1" applyAlignment="1">
      <alignment horizontal="right" vertical="center"/>
    </xf>
    <xf numFmtId="167" fontId="11" fillId="0" borderId="5" xfId="0" applyNumberFormat="1" applyFont="1" applyBorder="1" applyAlignment="1">
      <alignment horizontal="right"/>
    </xf>
    <xf numFmtId="167" fontId="12" fillId="0" borderId="5" xfId="0" applyNumberFormat="1" applyFont="1" applyBorder="1" applyAlignment="1">
      <alignment horizontal="right"/>
    </xf>
    <xf numFmtId="0" fontId="41" fillId="12" borderId="46" xfId="7" applyFont="1" applyFill="1" applyBorder="1" applyAlignment="1">
      <alignment horizontal="center" vertical="center" wrapText="1"/>
    </xf>
    <xf numFmtId="0" fontId="14" fillId="11" borderId="22" xfId="7" applyFont="1" applyFill="1" applyBorder="1" applyAlignment="1">
      <alignment horizontal="center" vertical="center" wrapText="1"/>
    </xf>
    <xf numFmtId="0" fontId="44" fillId="0" borderId="0" xfId="7" applyFont="1" applyAlignment="1">
      <alignment horizontal="center" vertical="center"/>
    </xf>
    <xf numFmtId="0" fontId="17" fillId="2" borderId="37" xfId="7" applyFont="1" applyFill="1" applyBorder="1" applyAlignment="1">
      <alignment horizontal="center" vertical="center" wrapText="1"/>
    </xf>
    <xf numFmtId="0" fontId="17" fillId="2" borderId="38" xfId="7" applyFont="1" applyFill="1" applyBorder="1" applyAlignment="1">
      <alignment horizontal="center" vertical="center" wrapText="1"/>
    </xf>
    <xf numFmtId="0" fontId="64" fillId="2" borderId="38" xfId="7" applyFont="1" applyFill="1" applyBorder="1" applyAlignment="1">
      <alignment horizontal="center" vertical="center" wrapText="1"/>
    </xf>
    <xf numFmtId="0" fontId="0" fillId="0" borderId="46" xfId="0" applyBorder="1"/>
    <xf numFmtId="0" fontId="0" fillId="0" borderId="37" xfId="0" applyBorder="1"/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/>
    <xf numFmtId="165" fontId="17" fillId="0" borderId="5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5" fontId="6" fillId="0" borderId="0" xfId="0" applyNumberFormat="1" applyFont="1"/>
    <xf numFmtId="0" fontId="6" fillId="0" borderId="0" xfId="0" applyFont="1" applyAlignment="1">
      <alignment horizontal="center" vertical="center"/>
    </xf>
    <xf numFmtId="0" fontId="13" fillId="0" borderId="83" xfId="5" applyFont="1" applyBorder="1" applyAlignment="1">
      <alignment horizontal="left" vertical="center" wrapText="1" indent="6"/>
    </xf>
    <xf numFmtId="0" fontId="23" fillId="0" borderId="80" xfId="14" applyFont="1" applyBorder="1" applyAlignment="1" applyProtection="1">
      <alignment horizontal="center" vertical="center" wrapText="1"/>
      <protection locked="0"/>
    </xf>
    <xf numFmtId="0" fontId="23" fillId="0" borderId="23" xfId="14" applyFont="1" applyBorder="1" applyAlignment="1" applyProtection="1">
      <alignment horizontal="center" vertical="center" wrapText="1"/>
      <protection locked="0"/>
    </xf>
    <xf numFmtId="0" fontId="23" fillId="0" borderId="7" xfId="14" applyFont="1" applyBorder="1" applyAlignment="1" applyProtection="1">
      <alignment horizontal="center" vertical="center" wrapText="1"/>
      <protection locked="0"/>
    </xf>
    <xf numFmtId="0" fontId="9" fillId="0" borderId="0" xfId="14" applyFont="1" applyAlignment="1">
      <alignment horizontal="center" vertical="center" wrapText="1"/>
    </xf>
    <xf numFmtId="2" fontId="12" fillId="2" borderId="52" xfId="14" applyNumberFormat="1" applyFont="1" applyFill="1" applyBorder="1" applyAlignment="1">
      <alignment horizontal="center" vertical="center" wrapText="1"/>
    </xf>
    <xf numFmtId="2" fontId="12" fillId="2" borderId="55" xfId="14" applyNumberFormat="1" applyFont="1" applyFill="1" applyBorder="1" applyAlignment="1">
      <alignment horizontal="center" vertical="center" wrapText="1"/>
    </xf>
    <xf numFmtId="2" fontId="12" fillId="2" borderId="53" xfId="14" applyNumberFormat="1" applyFont="1" applyFill="1" applyBorder="1" applyAlignment="1">
      <alignment horizontal="center" vertical="center" wrapText="1"/>
    </xf>
    <xf numFmtId="2" fontId="12" fillId="2" borderId="56" xfId="14" applyNumberFormat="1" applyFont="1" applyFill="1" applyBorder="1" applyAlignment="1">
      <alignment horizontal="center" vertical="center" wrapText="1"/>
    </xf>
    <xf numFmtId="0" fontId="12" fillId="2" borderId="53" xfId="15" applyFont="1" applyFill="1" applyBorder="1" applyAlignment="1" applyProtection="1">
      <alignment horizontal="center" vertical="center" wrapText="1"/>
      <protection locked="0"/>
    </xf>
    <xf numFmtId="0" fontId="12" fillId="2" borderId="56" xfId="15" applyFont="1" applyFill="1" applyBorder="1" applyAlignment="1" applyProtection="1">
      <alignment horizontal="center" vertical="center" wrapText="1"/>
      <protection locked="0"/>
    </xf>
    <xf numFmtId="0" fontId="57" fillId="2" borderId="53" xfId="14" applyFont="1" applyFill="1" applyBorder="1" applyAlignment="1">
      <alignment horizontal="center" vertical="center" wrapText="1"/>
    </xf>
    <xf numFmtId="0" fontId="53" fillId="2" borderId="54" xfId="14" applyFont="1" applyFill="1" applyBorder="1" applyAlignment="1">
      <alignment horizontal="center" vertical="center" wrapText="1"/>
    </xf>
    <xf numFmtId="0" fontId="0" fillId="0" borderId="59" xfId="0" applyBorder="1"/>
    <xf numFmtId="0" fontId="12" fillId="3" borderId="62" xfId="0" applyFont="1" applyFill="1" applyBorder="1" applyAlignment="1">
      <alignment horizontal="center" vertical="center" wrapText="1"/>
    </xf>
    <xf numFmtId="0" fontId="12" fillId="3" borderId="66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 wrapText="1"/>
    </xf>
    <xf numFmtId="0" fontId="12" fillId="3" borderId="65" xfId="0" applyFont="1" applyFill="1" applyBorder="1" applyAlignment="1">
      <alignment horizontal="center" vertical="center" wrapText="1"/>
    </xf>
    <xf numFmtId="0" fontId="12" fillId="3" borderId="63" xfId="0" applyFont="1" applyFill="1" applyBorder="1" applyAlignment="1">
      <alignment horizontal="center" vertical="center" wrapText="1"/>
    </xf>
    <xf numFmtId="0" fontId="12" fillId="3" borderId="6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60" xfId="0" applyFont="1" applyFill="1" applyBorder="1" applyAlignment="1">
      <alignment horizontal="center" vertical="center" wrapText="1"/>
    </xf>
    <xf numFmtId="0" fontId="12" fillId="3" borderId="61" xfId="0" applyFont="1" applyFill="1" applyBorder="1" applyAlignment="1">
      <alignment horizontal="center" vertical="center" wrapText="1"/>
    </xf>
    <xf numFmtId="0" fontId="12" fillId="3" borderId="73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6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 wrapText="1"/>
    </xf>
    <xf numFmtId="0" fontId="12" fillId="3" borderId="46" xfId="0" applyFont="1" applyFill="1" applyBorder="1" applyAlignment="1">
      <alignment horizontal="center" vertical="center" wrapText="1"/>
    </xf>
    <xf numFmtId="0" fontId="12" fillId="3" borderId="72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75" xfId="0" applyFont="1" applyFill="1" applyBorder="1" applyAlignment="1">
      <alignment horizontal="center" vertical="center"/>
    </xf>
    <xf numFmtId="0" fontId="42" fillId="3" borderId="29" xfId="0" applyFont="1" applyFill="1" applyBorder="1" applyAlignment="1">
      <alignment horizontal="center" vertical="center" wrapText="1"/>
    </xf>
    <xf numFmtId="0" fontId="42" fillId="3" borderId="12" xfId="0" applyFont="1" applyFill="1" applyBorder="1" applyAlignment="1">
      <alignment horizontal="center" vertical="center"/>
    </xf>
    <xf numFmtId="0" fontId="42" fillId="3" borderId="13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0" fillId="3" borderId="69" xfId="0" applyFill="1" applyBorder="1"/>
    <xf numFmtId="0" fontId="23" fillId="3" borderId="35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49" fontId="14" fillId="3" borderId="12" xfId="0" applyNumberFormat="1" applyFont="1" applyFill="1" applyBorder="1" applyAlignment="1">
      <alignment horizontal="center" vertical="center"/>
    </xf>
    <xf numFmtId="0" fontId="0" fillId="3" borderId="34" xfId="0" applyFill="1" applyBorder="1"/>
    <xf numFmtId="0" fontId="23" fillId="3" borderId="12" xfId="0" applyFont="1" applyFill="1" applyBorder="1" applyAlignment="1">
      <alignment horizontal="center" vertical="center" wrapText="1"/>
    </xf>
    <xf numFmtId="0" fontId="0" fillId="3" borderId="36" xfId="0" applyFill="1" applyBorder="1"/>
    <xf numFmtId="167" fontId="6" fillId="0" borderId="0" xfId="0" applyNumberFormat="1" applyFont="1"/>
    <xf numFmtId="49" fontId="30" fillId="0" borderId="0" xfId="0" applyNumberFormat="1" applyFont="1" applyAlignment="1">
      <alignment horizontal="center" vertical="center" wrapText="1"/>
    </xf>
    <xf numFmtId="49" fontId="30" fillId="0" borderId="0" xfId="0" applyNumberFormat="1" applyFont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0" fillId="0" borderId="67" xfId="0" applyBorder="1"/>
    <xf numFmtId="0" fontId="5" fillId="3" borderId="12" xfId="0" applyFont="1" applyFill="1" applyBorder="1" applyAlignment="1">
      <alignment horizontal="center" vertical="center" wrapText="1"/>
    </xf>
    <xf numFmtId="0" fontId="0" fillId="0" borderId="68" xfId="0" applyBorder="1"/>
    <xf numFmtId="0" fontId="5" fillId="3" borderId="13" xfId="0" applyFont="1" applyFill="1" applyBorder="1" applyAlignment="1">
      <alignment horizontal="center" vertical="center"/>
    </xf>
    <xf numFmtId="0" fontId="50" fillId="0" borderId="70" xfId="0" applyFont="1" applyBorder="1"/>
    <xf numFmtId="0" fontId="26" fillId="3" borderId="12" xfId="0" applyFont="1" applyFill="1" applyBorder="1" applyAlignment="1">
      <alignment horizontal="center" vertical="center" wrapText="1"/>
    </xf>
    <xf numFmtId="0" fontId="0" fillId="0" borderId="11" xfId="0" applyBorder="1"/>
    <xf numFmtId="0" fontId="6" fillId="3" borderId="29" xfId="0" applyFont="1" applyFill="1" applyBorder="1" applyAlignment="1">
      <alignment horizontal="center" vertical="center"/>
    </xf>
    <xf numFmtId="0" fontId="0" fillId="0" borderId="34" xfId="0" applyBorder="1"/>
    <xf numFmtId="0" fontId="39" fillId="3" borderId="29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 wrapText="1"/>
    </xf>
    <xf numFmtId="0" fontId="0" fillId="0" borderId="70" xfId="0" applyBorder="1"/>
    <xf numFmtId="49" fontId="26" fillId="3" borderId="1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1" fillId="7" borderId="38" xfId="11" applyFont="1" applyFill="1" applyBorder="1" applyAlignment="1">
      <alignment horizontal="left" vertical="center" wrapText="1" indent="5"/>
    </xf>
    <xf numFmtId="0" fontId="6" fillId="0" borderId="37" xfId="0" applyFont="1" applyBorder="1"/>
    <xf numFmtId="0" fontId="67" fillId="0" borderId="0" xfId="11" applyFont="1" applyAlignment="1">
      <alignment horizontal="center" vertical="center" wrapText="1"/>
    </xf>
    <xf numFmtId="0" fontId="69" fillId="0" borderId="0" xfId="11" applyFont="1" applyAlignment="1">
      <alignment horizontal="center" vertical="center" wrapText="1"/>
    </xf>
    <xf numFmtId="0" fontId="71" fillId="7" borderId="38" xfId="11" applyFont="1" applyFill="1" applyBorder="1" applyAlignment="1">
      <alignment horizontal="center" vertical="center" wrapText="1"/>
    </xf>
    <xf numFmtId="0" fontId="6" fillId="0" borderId="71" xfId="0" applyFont="1" applyBorder="1"/>
    <xf numFmtId="0" fontId="6" fillId="0" borderId="70" xfId="0" applyFont="1" applyBorder="1"/>
    <xf numFmtId="0" fontId="6" fillId="0" borderId="67" xfId="0" applyFont="1" applyBorder="1"/>
    <xf numFmtId="0" fontId="71" fillId="6" borderId="38" xfId="11" applyFont="1" applyFill="1" applyBorder="1" applyAlignment="1">
      <alignment horizontal="center" vertical="center" wrapText="1"/>
    </xf>
    <xf numFmtId="0" fontId="6" fillId="0" borderId="46" xfId="0" applyFont="1" applyBorder="1"/>
  </cellXfs>
  <cellStyles count="19">
    <cellStyle name="Гиперссылка" xfId="10" builtinId="8"/>
    <cellStyle name="Обычный" xfId="0" builtinId="0"/>
    <cellStyle name="Обычный 13 2" xfId="3"/>
    <cellStyle name="Обычный 2" xfId="4"/>
    <cellStyle name="Обычный 2 2" xfId="16"/>
    <cellStyle name="Обычный 2 2 13" xfId="5"/>
    <cellStyle name="Обычный 3" xfId="7"/>
    <cellStyle name="Обычный 4" xfId="11"/>
    <cellStyle name="Обычный_-ИП-2002-АП" xfId="17"/>
    <cellStyle name="Обычный_ИП2006 - Адресная часть" xfId="14"/>
    <cellStyle name="Обычный_форма-образец-ежемес отчет" xfId="15"/>
    <cellStyle name="Процентный" xfId="2" builtinId="5"/>
    <cellStyle name="Процентный 2" xfId="6"/>
    <cellStyle name="Процентный 2 2" xfId="18"/>
    <cellStyle name="Процентный 3" xfId="9"/>
    <cellStyle name="Процентный 4" xfId="12"/>
    <cellStyle name="Финансовый" xfId="1" builtinId="3"/>
    <cellStyle name="Финансовый 2" xfId="8"/>
    <cellStyle name="Финансовый 3" xfId="13"/>
  </cellStyles>
  <dxfs count="3"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DEDEEE"/>
      <color rgb="FFFBCFB7"/>
      <color rgb="FFFDC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le%2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9"/>
  <sheetViews>
    <sheetView workbookViewId="0">
      <selection activeCell="K18" sqref="K18"/>
    </sheetView>
  </sheetViews>
  <sheetFormatPr defaultRowHeight="15" x14ac:dyDescent="0.25"/>
  <cols>
    <col min="2" max="2" width="7.42578125" style="127" customWidth="1"/>
    <col min="3" max="3" width="91.85546875" style="127" bestFit="1" customWidth="1"/>
    <col min="4" max="4" width="9.140625" style="127"/>
  </cols>
  <sheetData>
    <row r="1" spans="2:4" ht="24" customHeight="1" x14ac:dyDescent="0.25"/>
    <row r="2" spans="2:4" ht="36.75" customHeight="1" x14ac:dyDescent="0.25">
      <c r="B2" s="132" t="s">
        <v>0</v>
      </c>
      <c r="C2" s="130" t="s">
        <v>80</v>
      </c>
    </row>
    <row r="3" spans="2:4" s="129" customFormat="1" ht="24.75" customHeight="1" x14ac:dyDescent="0.25">
      <c r="B3" s="131">
        <v>1</v>
      </c>
      <c r="C3" s="133" t="s">
        <v>502</v>
      </c>
      <c r="D3" s="128"/>
    </row>
    <row r="4" spans="2:4" s="129" customFormat="1" ht="24.75" customHeight="1" x14ac:dyDescent="0.25">
      <c r="B4" s="131">
        <v>2</v>
      </c>
      <c r="C4" s="133" t="s">
        <v>413</v>
      </c>
      <c r="D4" s="128"/>
    </row>
    <row r="5" spans="2:4" s="129" customFormat="1" ht="24.75" customHeight="1" x14ac:dyDescent="0.25">
      <c r="B5" s="131">
        <v>3</v>
      </c>
      <c r="C5" s="133" t="s">
        <v>351</v>
      </c>
      <c r="D5" s="128"/>
    </row>
    <row r="6" spans="2:4" s="129" customFormat="1" ht="24.75" customHeight="1" x14ac:dyDescent="0.25">
      <c r="B6" s="131" t="s">
        <v>15</v>
      </c>
      <c r="C6" s="133" t="s">
        <v>371</v>
      </c>
      <c r="D6" s="128"/>
    </row>
    <row r="7" spans="2:4" s="129" customFormat="1" ht="24.75" customHeight="1" x14ac:dyDescent="0.25">
      <c r="B7" s="131" t="s">
        <v>81</v>
      </c>
      <c r="C7" s="133" t="s">
        <v>503</v>
      </c>
      <c r="D7" s="128"/>
    </row>
    <row r="8" spans="2:4" s="129" customFormat="1" ht="24.75" customHeight="1" x14ac:dyDescent="0.25">
      <c r="B8" s="131" t="s">
        <v>82</v>
      </c>
      <c r="C8" s="133" t="s">
        <v>352</v>
      </c>
      <c r="D8" s="128"/>
    </row>
    <row r="9" spans="2:4" s="129" customFormat="1" ht="24.75" customHeight="1" x14ac:dyDescent="0.25">
      <c r="B9" s="131" t="s">
        <v>83</v>
      </c>
      <c r="C9" s="133" t="s">
        <v>370</v>
      </c>
      <c r="D9" s="128"/>
    </row>
    <row r="10" spans="2:4" s="129" customFormat="1" ht="24.75" customHeight="1" x14ac:dyDescent="0.25">
      <c r="B10" s="131">
        <v>4</v>
      </c>
      <c r="C10" s="133" t="s">
        <v>504</v>
      </c>
      <c r="D10" s="128"/>
    </row>
    <row r="11" spans="2:4" s="129" customFormat="1" ht="24.75" customHeight="1" x14ac:dyDescent="0.25">
      <c r="B11" s="131">
        <v>5</v>
      </c>
      <c r="C11" s="133" t="s">
        <v>100</v>
      </c>
      <c r="D11" s="128"/>
    </row>
    <row r="12" spans="2:4" s="129" customFormat="1" ht="24.75" customHeight="1" x14ac:dyDescent="0.25">
      <c r="B12" s="131">
        <v>6</v>
      </c>
      <c r="C12" s="133" t="s">
        <v>505</v>
      </c>
      <c r="D12" s="128"/>
    </row>
    <row r="13" spans="2:4" s="129" customFormat="1" ht="37.5" x14ac:dyDescent="0.25">
      <c r="B13" s="131" t="s">
        <v>91</v>
      </c>
      <c r="C13" s="134" t="s">
        <v>560</v>
      </c>
      <c r="D13" s="128"/>
    </row>
    <row r="14" spans="2:4" s="129" customFormat="1" ht="24.75" customHeight="1" x14ac:dyDescent="0.25">
      <c r="B14" s="131">
        <v>7</v>
      </c>
      <c r="C14" s="133" t="s">
        <v>399</v>
      </c>
      <c r="D14" s="128"/>
    </row>
    <row r="15" spans="2:4" s="129" customFormat="1" ht="24.75" customHeight="1" x14ac:dyDescent="0.25">
      <c r="B15" s="131" t="s">
        <v>84</v>
      </c>
      <c r="C15" s="133" t="s">
        <v>562</v>
      </c>
      <c r="D15" s="128"/>
    </row>
    <row r="16" spans="2:4" s="129" customFormat="1" ht="24.95" customHeight="1" x14ac:dyDescent="0.25">
      <c r="B16" s="131">
        <v>8</v>
      </c>
      <c r="C16" s="134" t="s">
        <v>561</v>
      </c>
      <c r="D16" s="128"/>
    </row>
    <row r="17" spans="2:4" s="129" customFormat="1" ht="50.25" customHeight="1" x14ac:dyDescent="0.25">
      <c r="B17" s="131" t="s">
        <v>85</v>
      </c>
      <c r="C17" s="134" t="s">
        <v>563</v>
      </c>
      <c r="D17" s="128"/>
    </row>
    <row r="18" spans="2:4" s="129" customFormat="1" ht="24.75" customHeight="1" x14ac:dyDescent="0.25">
      <c r="B18" s="131">
        <v>9</v>
      </c>
      <c r="C18" s="133" t="s">
        <v>564</v>
      </c>
      <c r="D18" s="128"/>
    </row>
    <row r="19" spans="2:4" s="129" customFormat="1" ht="24.75" customHeight="1" x14ac:dyDescent="0.25">
      <c r="B19" s="131" t="s">
        <v>86</v>
      </c>
      <c r="C19" s="133" t="s">
        <v>506</v>
      </c>
      <c r="D19" s="128"/>
    </row>
    <row r="20" spans="2:4" s="129" customFormat="1" ht="24.75" customHeight="1" x14ac:dyDescent="0.25">
      <c r="B20" s="131">
        <v>10</v>
      </c>
      <c r="C20" s="133" t="s">
        <v>565</v>
      </c>
      <c r="D20" s="128"/>
    </row>
    <row r="21" spans="2:4" s="129" customFormat="1" ht="24.75" customHeight="1" x14ac:dyDescent="0.25">
      <c r="B21" s="131">
        <v>11</v>
      </c>
      <c r="C21" s="133" t="s">
        <v>537</v>
      </c>
      <c r="D21" s="128"/>
    </row>
    <row r="25" spans="2:4" x14ac:dyDescent="0.25">
      <c r="C25"/>
      <c r="D25"/>
    </row>
    <row r="26" spans="2:4" x14ac:dyDescent="0.25">
      <c r="C26"/>
      <c r="D26"/>
    </row>
    <row r="27" spans="2:4" x14ac:dyDescent="0.25">
      <c r="C27"/>
      <c r="D27"/>
    </row>
    <row r="28" spans="2:4" x14ac:dyDescent="0.25">
      <c r="C28"/>
      <c r="D28"/>
    </row>
    <row r="29" spans="2:4" x14ac:dyDescent="0.25">
      <c r="C29"/>
      <c r="D29"/>
    </row>
  </sheetData>
  <hyperlinks>
    <hyperlink ref="C3" location="'Table 1'!A1" display="Целевые и фактические показатели"/>
    <hyperlink ref="C4" location="'Table 2'!A1" display="Основные индикаторы деятельности резидентов IT-Park"/>
    <hyperlink ref="C5" location="'Table 3'!A1" display="Экспортные показатели и структура экспорта IT-Park"/>
    <hyperlink ref="C6" location="'Table 3.1'!A1" display="Экспорт IT услуг по странам"/>
    <hyperlink ref="C7" location="'Table 3.2'!A1" display="ТОП-10 экспортеров среди резидентов IT-Park"/>
    <hyperlink ref="C8" location="'Table 3.3'!A1" display="Резиденты IT-Park, увеличившие объёмы экспорта"/>
    <hyperlink ref="C9" location="'Table 3.4'!A1" display="Резиденты IT-Park, сократившие объёмы экспорта"/>
    <hyperlink ref="C10" location="'Table 4'!A1" display="Объем оказанных услуг резидентами IT Park"/>
    <hyperlink ref="C11" location="'Table 5'!A1" display="Информация об инвестиционных проектах на 2025 год"/>
    <hyperlink ref="C12" location="'Table 6'!A1" display="Информация в разрезе областей за 2025 год"/>
    <hyperlink ref="C14" location="'Table 7'!A1" display="Информация о резидентах IT Park"/>
    <hyperlink ref="C15" location="'Table 7.1'!A1" display="Информаци о резидентах IT Park по странам"/>
    <hyperlink ref="C16" location="'Table 8'!A1" display="Информация об оказанных консультационных обращений"/>
    <hyperlink ref="C18" location="'Table 9'!A1" display="Информация о выданных ID Card по программе IT Visa"/>
    <hyperlink ref="C19" location="'Table 9.1'!A1" display="Информация о выданных ID Card по странам"/>
    <hyperlink ref="C20" location="'Table 10'!A1" display="Иностранные резиденты IT-Park (ключевые показатели)"/>
    <hyperlink ref="C21" location="'Table 11'!A1" display="Международные партнёрства и мероприятия IT-Park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autoPageBreaks="0" fitToPage="1"/>
  </sheetPr>
  <dimension ref="A1:T82"/>
  <sheetViews>
    <sheetView zoomScale="70" zoomScaleNormal="70" zoomScaleSheetLayoutView="55" workbookViewId="0">
      <pane ySplit="5" topLeftCell="A6" activePane="bottomLeft" state="frozen"/>
      <selection pane="bottomLeft" activeCell="F11" sqref="F11"/>
    </sheetView>
  </sheetViews>
  <sheetFormatPr defaultColWidth="9.140625" defaultRowHeight="18.75" x14ac:dyDescent="0.3"/>
  <cols>
    <col min="1" max="1" width="9" style="117" customWidth="1"/>
    <col min="2" max="2" width="64.42578125" style="106" customWidth="1"/>
    <col min="3" max="3" width="11" style="289" customWidth="1"/>
    <col min="4" max="4" width="9.85546875" style="119" bestFit="1" customWidth="1"/>
    <col min="5" max="20" width="12.85546875" style="119" customWidth="1"/>
    <col min="21" max="16384" width="9.140625" style="106"/>
  </cols>
  <sheetData>
    <row r="1" spans="1:20" x14ac:dyDescent="0.3">
      <c r="T1" s="51" t="s">
        <v>127</v>
      </c>
    </row>
    <row r="2" spans="1:20" ht="23.25" x14ac:dyDescent="0.25">
      <c r="A2" s="545" t="s">
        <v>508</v>
      </c>
      <c r="B2" s="545"/>
      <c r="C2" s="545"/>
      <c r="D2" s="545"/>
      <c r="E2" s="545"/>
      <c r="F2" s="545"/>
      <c r="G2" s="545"/>
      <c r="H2" s="545"/>
      <c r="I2" s="545"/>
      <c r="J2" s="545"/>
      <c r="K2" s="545"/>
      <c r="L2" s="545"/>
      <c r="M2" s="545"/>
      <c r="N2" s="545"/>
      <c r="O2" s="545"/>
      <c r="P2" s="545"/>
      <c r="Q2" s="545"/>
      <c r="R2" s="545"/>
      <c r="S2" s="545"/>
      <c r="T2" s="545"/>
    </row>
    <row r="4" spans="1:20" ht="35.25" customHeight="1" x14ac:dyDescent="0.25">
      <c r="A4" s="546" t="s">
        <v>93</v>
      </c>
      <c r="B4" s="547" t="s">
        <v>128</v>
      </c>
      <c r="C4" s="548" t="s">
        <v>129</v>
      </c>
      <c r="D4" s="547" t="str">
        <f>'2-жадвал'!D5</f>
        <v>2025-йил</v>
      </c>
      <c r="E4" s="547" t="s">
        <v>130</v>
      </c>
      <c r="F4" s="549"/>
      <c r="G4" s="549"/>
      <c r="H4" s="550"/>
      <c r="I4" s="547" t="s">
        <v>339</v>
      </c>
      <c r="J4" s="549"/>
      <c r="K4" s="549"/>
      <c r="L4" s="550"/>
      <c r="M4" s="547" t="s">
        <v>340</v>
      </c>
      <c r="N4" s="549"/>
      <c r="O4" s="549"/>
      <c r="P4" s="550"/>
      <c r="Q4" s="547" t="s">
        <v>341</v>
      </c>
      <c r="R4" s="549"/>
      <c r="S4" s="549"/>
      <c r="T4" s="549"/>
    </row>
    <row r="5" spans="1:20" ht="33.75" customHeight="1" x14ac:dyDescent="0.25">
      <c r="A5" s="546"/>
      <c r="B5" s="547"/>
      <c r="C5" s="548"/>
      <c r="D5" s="547"/>
      <c r="E5" s="273" t="s">
        <v>131</v>
      </c>
      <c r="F5" s="273" t="s">
        <v>78</v>
      </c>
      <c r="G5" s="107" t="s">
        <v>132</v>
      </c>
      <c r="H5" s="107" t="s">
        <v>133</v>
      </c>
      <c r="I5" s="273" t="s">
        <v>131</v>
      </c>
      <c r="J5" s="273" t="s">
        <v>78</v>
      </c>
      <c r="K5" s="107" t="s">
        <v>132</v>
      </c>
      <c r="L5" s="107" t="s">
        <v>133</v>
      </c>
      <c r="M5" s="273" t="s">
        <v>131</v>
      </c>
      <c r="N5" s="273" t="s">
        <v>78</v>
      </c>
      <c r="O5" s="107" t="s">
        <v>132</v>
      </c>
      <c r="P5" s="107" t="s">
        <v>133</v>
      </c>
      <c r="Q5" s="273" t="s">
        <v>131</v>
      </c>
      <c r="R5" s="273" t="s">
        <v>78</v>
      </c>
      <c r="S5" s="107" t="s">
        <v>132</v>
      </c>
      <c r="T5" s="108" t="s">
        <v>133</v>
      </c>
    </row>
    <row r="6" spans="1:20" ht="33.75" customHeight="1" x14ac:dyDescent="0.25">
      <c r="A6" s="543" t="s">
        <v>87</v>
      </c>
      <c r="B6" s="543"/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P6" s="543"/>
      <c r="Q6" s="543"/>
      <c r="R6" s="543"/>
      <c r="S6" s="543"/>
      <c r="T6" s="543"/>
    </row>
    <row r="7" spans="1:20" ht="50.25" customHeight="1" x14ac:dyDescent="0.25">
      <c r="A7" s="165">
        <v>1</v>
      </c>
      <c r="B7" s="166" t="s">
        <v>122</v>
      </c>
      <c r="C7" s="290" t="s">
        <v>142</v>
      </c>
      <c r="D7" s="167">
        <v>3435</v>
      </c>
      <c r="E7" s="168"/>
      <c r="F7" s="169">
        <v>3500</v>
      </c>
      <c r="G7" s="170">
        <f>E7-F7</f>
        <v>-3500</v>
      </c>
      <c r="H7" s="171">
        <f>IFERROR(E7/F7, "-")</f>
        <v>0</v>
      </c>
      <c r="I7" s="172"/>
      <c r="J7" s="169">
        <v>3800</v>
      </c>
      <c r="K7" s="170">
        <f>I7-J7</f>
        <v>-3800</v>
      </c>
      <c r="L7" s="171">
        <f>IFERROR(I7/J7, "-")</f>
        <v>0</v>
      </c>
      <c r="M7" s="172"/>
      <c r="N7" s="169">
        <v>4200</v>
      </c>
      <c r="O7" s="170">
        <f>M7-N7</f>
        <v>-4200</v>
      </c>
      <c r="P7" s="193">
        <f>IFERROR(M7/N7, "-")</f>
        <v>0</v>
      </c>
      <c r="Q7" s="173"/>
      <c r="R7" s="174">
        <v>4500</v>
      </c>
      <c r="S7" s="170">
        <f>Q7-R7</f>
        <v>-4500</v>
      </c>
      <c r="T7" s="171">
        <f>IFERROR(Q7/R7, "-")</f>
        <v>0</v>
      </c>
    </row>
    <row r="8" spans="1:20" ht="50.25" customHeight="1" x14ac:dyDescent="0.25">
      <c r="A8" s="109" t="s">
        <v>3</v>
      </c>
      <c r="B8" s="110" t="s">
        <v>123</v>
      </c>
      <c r="C8" s="111" t="s">
        <v>142</v>
      </c>
      <c r="D8" s="137">
        <v>1308</v>
      </c>
      <c r="E8" s="138"/>
      <c r="F8" s="139">
        <v>1400</v>
      </c>
      <c r="G8" s="123">
        <f>E8-F8</f>
        <v>-1400</v>
      </c>
      <c r="H8" s="135">
        <f t="shared" ref="H8:H18" si="0">IFERROR(E8/F8, "-")</f>
        <v>0</v>
      </c>
      <c r="I8" s="146"/>
      <c r="J8" s="139">
        <v>1550</v>
      </c>
      <c r="K8" s="123">
        <f>I8-J8</f>
        <v>-1550</v>
      </c>
      <c r="L8" s="135">
        <f t="shared" ref="L8:L18" si="1">IFERROR(I8/J8, "-")</f>
        <v>0</v>
      </c>
      <c r="M8" s="146"/>
      <c r="N8" s="139">
        <v>1650</v>
      </c>
      <c r="O8" s="123">
        <f>M8-N8</f>
        <v>-1650</v>
      </c>
      <c r="P8" s="136">
        <f t="shared" ref="P8:P18" si="2">IFERROR(M8/N8, "-")</f>
        <v>0</v>
      </c>
      <c r="Q8" s="149"/>
      <c r="R8" s="150">
        <v>1800</v>
      </c>
      <c r="S8" s="123">
        <f>Q8-R8</f>
        <v>-1800</v>
      </c>
      <c r="T8" s="135">
        <f t="shared" ref="T8:T18" si="3">IFERROR(Q8/R8, "-")</f>
        <v>0</v>
      </c>
    </row>
    <row r="9" spans="1:20" ht="50.25" customHeight="1" x14ac:dyDescent="0.25">
      <c r="A9" s="114" t="s">
        <v>6</v>
      </c>
      <c r="B9" s="113" t="s">
        <v>124</v>
      </c>
      <c r="C9" s="111" t="s">
        <v>142</v>
      </c>
      <c r="D9" s="140">
        <v>972</v>
      </c>
      <c r="E9" s="141"/>
      <c r="F9" s="142">
        <v>1000</v>
      </c>
      <c r="G9" s="123">
        <f t="shared" ref="G9:G17" si="4">E9-F9</f>
        <v>-1000</v>
      </c>
      <c r="H9" s="135">
        <f t="shared" si="0"/>
        <v>0</v>
      </c>
      <c r="I9" s="147"/>
      <c r="J9" s="142">
        <v>1100</v>
      </c>
      <c r="K9" s="123">
        <f t="shared" ref="K9:K18" si="5">I9-J9</f>
        <v>-1100</v>
      </c>
      <c r="L9" s="135">
        <f t="shared" si="1"/>
        <v>0</v>
      </c>
      <c r="M9" s="147"/>
      <c r="N9" s="142">
        <v>1150</v>
      </c>
      <c r="O9" s="123">
        <f t="shared" ref="O9:O18" si="6">M9-N9</f>
        <v>-1150</v>
      </c>
      <c r="P9" s="136">
        <f t="shared" si="2"/>
        <v>0</v>
      </c>
      <c r="Q9" s="151"/>
      <c r="R9" s="152">
        <v>1250</v>
      </c>
      <c r="S9" s="123">
        <f t="shared" ref="S9:S18" si="7">Q9-R9</f>
        <v>-1250</v>
      </c>
      <c r="T9" s="135">
        <f t="shared" si="3"/>
        <v>0</v>
      </c>
    </row>
    <row r="10" spans="1:20" ht="50.25" customHeight="1" x14ac:dyDescent="0.25">
      <c r="A10" s="109" t="s">
        <v>7</v>
      </c>
      <c r="B10" s="110" t="s">
        <v>123</v>
      </c>
      <c r="C10" s="111" t="s">
        <v>142</v>
      </c>
      <c r="D10" s="137">
        <v>309</v>
      </c>
      <c r="E10" s="138"/>
      <c r="F10" s="139">
        <v>320</v>
      </c>
      <c r="G10" s="123">
        <f t="shared" si="4"/>
        <v>-320</v>
      </c>
      <c r="H10" s="135">
        <f t="shared" si="0"/>
        <v>0</v>
      </c>
      <c r="I10" s="146"/>
      <c r="J10" s="139">
        <v>340</v>
      </c>
      <c r="K10" s="123">
        <f t="shared" si="5"/>
        <v>-340</v>
      </c>
      <c r="L10" s="135">
        <f t="shared" si="1"/>
        <v>0</v>
      </c>
      <c r="M10" s="146"/>
      <c r="N10" s="139">
        <v>360</v>
      </c>
      <c r="O10" s="123">
        <f t="shared" si="6"/>
        <v>-360</v>
      </c>
      <c r="P10" s="136">
        <f t="shared" si="2"/>
        <v>0</v>
      </c>
      <c r="Q10" s="149"/>
      <c r="R10" s="150">
        <v>380</v>
      </c>
      <c r="S10" s="123">
        <f t="shared" si="7"/>
        <v>-380</v>
      </c>
      <c r="T10" s="135">
        <f t="shared" si="3"/>
        <v>0</v>
      </c>
    </row>
    <row r="11" spans="1:20" ht="50.25" customHeight="1" x14ac:dyDescent="0.25">
      <c r="A11" s="112">
        <v>3</v>
      </c>
      <c r="B11" s="113" t="s">
        <v>338</v>
      </c>
      <c r="C11" s="111" t="s">
        <v>142</v>
      </c>
      <c r="D11" s="140">
        <v>900</v>
      </c>
      <c r="E11" s="141"/>
      <c r="F11" s="142">
        <v>920</v>
      </c>
      <c r="G11" s="123">
        <f t="shared" si="4"/>
        <v>-920</v>
      </c>
      <c r="H11" s="135">
        <f t="shared" si="0"/>
        <v>0</v>
      </c>
      <c r="I11" s="147"/>
      <c r="J11" s="142">
        <v>950</v>
      </c>
      <c r="K11" s="123">
        <f t="shared" si="5"/>
        <v>-950</v>
      </c>
      <c r="L11" s="135">
        <f t="shared" si="1"/>
        <v>0</v>
      </c>
      <c r="M11" s="147"/>
      <c r="N11" s="142">
        <v>1000</v>
      </c>
      <c r="O11" s="123">
        <f t="shared" si="6"/>
        <v>-1000</v>
      </c>
      <c r="P11" s="136">
        <f t="shared" si="2"/>
        <v>0</v>
      </c>
      <c r="Q11" s="151"/>
      <c r="R11" s="152">
        <v>1050</v>
      </c>
      <c r="S11" s="123">
        <f t="shared" si="7"/>
        <v>-1050</v>
      </c>
      <c r="T11" s="135">
        <f t="shared" si="3"/>
        <v>0</v>
      </c>
    </row>
    <row r="12" spans="1:20" ht="50.25" customHeight="1" x14ac:dyDescent="0.25">
      <c r="A12" s="109" t="s">
        <v>15</v>
      </c>
      <c r="B12" s="110" t="s">
        <v>123</v>
      </c>
      <c r="C12" s="111" t="s">
        <v>142</v>
      </c>
      <c r="D12" s="137">
        <v>281</v>
      </c>
      <c r="E12" s="138"/>
      <c r="F12" s="139">
        <v>290</v>
      </c>
      <c r="G12" s="123">
        <f t="shared" si="4"/>
        <v>-290</v>
      </c>
      <c r="H12" s="135">
        <f t="shared" si="0"/>
        <v>0</v>
      </c>
      <c r="I12" s="146"/>
      <c r="J12" s="139">
        <v>300</v>
      </c>
      <c r="K12" s="123">
        <f t="shared" si="5"/>
        <v>-300</v>
      </c>
      <c r="L12" s="135">
        <f t="shared" si="1"/>
        <v>0</v>
      </c>
      <c r="M12" s="146"/>
      <c r="N12" s="139">
        <v>320</v>
      </c>
      <c r="O12" s="123">
        <f t="shared" si="6"/>
        <v>-320</v>
      </c>
      <c r="P12" s="136">
        <f t="shared" si="2"/>
        <v>0</v>
      </c>
      <c r="Q12" s="149"/>
      <c r="R12" s="150">
        <v>350</v>
      </c>
      <c r="S12" s="123">
        <f t="shared" si="7"/>
        <v>-350</v>
      </c>
      <c r="T12" s="135">
        <f t="shared" si="3"/>
        <v>0</v>
      </c>
    </row>
    <row r="13" spans="1:20" ht="50.25" customHeight="1" x14ac:dyDescent="0.25">
      <c r="A13" s="114" t="s">
        <v>14</v>
      </c>
      <c r="B13" s="113" t="s">
        <v>345</v>
      </c>
      <c r="C13" s="111" t="s">
        <v>142</v>
      </c>
      <c r="D13" s="137"/>
      <c r="E13" s="138"/>
      <c r="F13" s="139"/>
      <c r="G13" s="123">
        <f t="shared" si="4"/>
        <v>0</v>
      </c>
      <c r="H13" s="135" t="str">
        <f t="shared" si="0"/>
        <v>-</v>
      </c>
      <c r="I13" s="146"/>
      <c r="J13" s="139"/>
      <c r="K13" s="123">
        <f t="shared" si="5"/>
        <v>0</v>
      </c>
      <c r="L13" s="135" t="str">
        <f t="shared" si="1"/>
        <v>-</v>
      </c>
      <c r="M13" s="146"/>
      <c r="N13" s="139"/>
      <c r="O13" s="123">
        <f t="shared" si="6"/>
        <v>0</v>
      </c>
      <c r="P13" s="136" t="str">
        <f t="shared" si="2"/>
        <v>-</v>
      </c>
      <c r="Q13" s="149"/>
      <c r="R13" s="150"/>
      <c r="S13" s="123">
        <f t="shared" si="7"/>
        <v>0</v>
      </c>
      <c r="T13" s="135" t="str">
        <f t="shared" si="3"/>
        <v>-</v>
      </c>
    </row>
    <row r="14" spans="1:20" ht="50.25" customHeight="1" x14ac:dyDescent="0.25">
      <c r="A14" s="109" t="s">
        <v>1</v>
      </c>
      <c r="B14" s="110" t="s">
        <v>123</v>
      </c>
      <c r="C14" s="111" t="s">
        <v>142</v>
      </c>
      <c r="D14" s="137"/>
      <c r="E14" s="138"/>
      <c r="F14" s="139"/>
      <c r="G14" s="123">
        <f t="shared" si="4"/>
        <v>0</v>
      </c>
      <c r="H14" s="135" t="str">
        <f t="shared" si="0"/>
        <v>-</v>
      </c>
      <c r="I14" s="146"/>
      <c r="J14" s="139"/>
      <c r="K14" s="123">
        <f t="shared" si="5"/>
        <v>0</v>
      </c>
      <c r="L14" s="135" t="str">
        <f t="shared" si="1"/>
        <v>-</v>
      </c>
      <c r="M14" s="146"/>
      <c r="N14" s="139"/>
      <c r="O14" s="123">
        <f t="shared" si="6"/>
        <v>0</v>
      </c>
      <c r="P14" s="136" t="str">
        <f t="shared" si="2"/>
        <v>-</v>
      </c>
      <c r="Q14" s="149"/>
      <c r="R14" s="150"/>
      <c r="S14" s="123">
        <f t="shared" si="7"/>
        <v>0</v>
      </c>
      <c r="T14" s="135" t="str">
        <f t="shared" si="3"/>
        <v>-</v>
      </c>
    </row>
    <row r="15" spans="1:20" ht="50.25" customHeight="1" x14ac:dyDescent="0.25">
      <c r="A15" s="112">
        <v>5</v>
      </c>
      <c r="B15" s="113" t="s">
        <v>125</v>
      </c>
      <c r="C15" s="111" t="s">
        <v>145</v>
      </c>
      <c r="D15" s="143">
        <v>33.4</v>
      </c>
      <c r="E15" s="144"/>
      <c r="F15" s="145">
        <v>8.5</v>
      </c>
      <c r="G15" s="123">
        <f t="shared" si="4"/>
        <v>-8.5</v>
      </c>
      <c r="H15" s="135">
        <f t="shared" si="0"/>
        <v>0</v>
      </c>
      <c r="I15" s="148"/>
      <c r="J15" s="145">
        <v>17</v>
      </c>
      <c r="K15" s="123">
        <f t="shared" si="5"/>
        <v>-17</v>
      </c>
      <c r="L15" s="135">
        <f t="shared" si="1"/>
        <v>0</v>
      </c>
      <c r="M15" s="148"/>
      <c r="N15" s="145">
        <v>25</v>
      </c>
      <c r="O15" s="123">
        <f t="shared" si="6"/>
        <v>-25</v>
      </c>
      <c r="P15" s="136">
        <f t="shared" si="2"/>
        <v>0</v>
      </c>
      <c r="Q15" s="153"/>
      <c r="R15" s="154">
        <v>33.4</v>
      </c>
      <c r="S15" s="123">
        <f t="shared" si="7"/>
        <v>-33.4</v>
      </c>
      <c r="T15" s="135">
        <f t="shared" si="3"/>
        <v>0</v>
      </c>
    </row>
    <row r="16" spans="1:20" ht="50.25" customHeight="1" x14ac:dyDescent="0.25">
      <c r="A16" s="109" t="s">
        <v>61</v>
      </c>
      <c r="B16" s="110" t="s">
        <v>123</v>
      </c>
      <c r="C16" s="111" t="s">
        <v>145</v>
      </c>
      <c r="D16" s="143"/>
      <c r="E16" s="144"/>
      <c r="F16" s="145"/>
      <c r="G16" s="123">
        <f t="shared" si="4"/>
        <v>0</v>
      </c>
      <c r="H16" s="135" t="str">
        <f t="shared" si="0"/>
        <v>-</v>
      </c>
      <c r="I16" s="148"/>
      <c r="J16" s="145"/>
      <c r="K16" s="123">
        <f t="shared" si="5"/>
        <v>0</v>
      </c>
      <c r="L16" s="135" t="str">
        <f t="shared" si="1"/>
        <v>-</v>
      </c>
      <c r="M16" s="148"/>
      <c r="N16" s="145"/>
      <c r="O16" s="123">
        <f t="shared" si="6"/>
        <v>0</v>
      </c>
      <c r="P16" s="136" t="str">
        <f t="shared" si="2"/>
        <v>-</v>
      </c>
      <c r="Q16" s="153"/>
      <c r="R16" s="154"/>
      <c r="S16" s="123">
        <f t="shared" si="7"/>
        <v>0</v>
      </c>
      <c r="T16" s="135" t="str">
        <f t="shared" si="3"/>
        <v>-</v>
      </c>
    </row>
    <row r="17" spans="1:20" ht="50.25" customHeight="1" x14ac:dyDescent="0.25">
      <c r="A17" s="112">
        <v>6</v>
      </c>
      <c r="B17" s="113" t="s">
        <v>126</v>
      </c>
      <c r="C17" s="111" t="s">
        <v>144</v>
      </c>
      <c r="D17" s="143"/>
      <c r="E17" s="144"/>
      <c r="F17" s="145"/>
      <c r="G17" s="123">
        <f t="shared" si="4"/>
        <v>0</v>
      </c>
      <c r="H17" s="135" t="str">
        <f t="shared" si="0"/>
        <v>-</v>
      </c>
      <c r="I17" s="148"/>
      <c r="J17" s="145"/>
      <c r="K17" s="123">
        <f t="shared" si="5"/>
        <v>0</v>
      </c>
      <c r="L17" s="135" t="str">
        <f t="shared" si="1"/>
        <v>-</v>
      </c>
      <c r="M17" s="148"/>
      <c r="N17" s="145"/>
      <c r="O17" s="123">
        <f t="shared" si="6"/>
        <v>0</v>
      </c>
      <c r="P17" s="136" t="str">
        <f t="shared" si="2"/>
        <v>-</v>
      </c>
      <c r="Q17" s="153"/>
      <c r="R17" s="154"/>
      <c r="S17" s="123">
        <f t="shared" si="7"/>
        <v>0</v>
      </c>
      <c r="T17" s="135" t="str">
        <f t="shared" si="3"/>
        <v>-</v>
      </c>
    </row>
    <row r="18" spans="1:20" ht="50.25" customHeight="1" x14ac:dyDescent="0.25">
      <c r="A18" s="109" t="s">
        <v>91</v>
      </c>
      <c r="B18" s="110" t="s">
        <v>123</v>
      </c>
      <c r="C18" s="111" t="s">
        <v>144</v>
      </c>
      <c r="D18" s="143"/>
      <c r="E18" s="144"/>
      <c r="F18" s="145"/>
      <c r="G18" s="123">
        <f>E18-F18</f>
        <v>0</v>
      </c>
      <c r="H18" s="135" t="str">
        <f t="shared" si="0"/>
        <v>-</v>
      </c>
      <c r="I18" s="148"/>
      <c r="J18" s="145"/>
      <c r="K18" s="123">
        <f t="shared" si="5"/>
        <v>0</v>
      </c>
      <c r="L18" s="135" t="str">
        <f t="shared" si="1"/>
        <v>-</v>
      </c>
      <c r="M18" s="148"/>
      <c r="N18" s="145"/>
      <c r="O18" s="123">
        <f t="shared" si="6"/>
        <v>0</v>
      </c>
      <c r="P18" s="136" t="str">
        <f t="shared" si="2"/>
        <v>-</v>
      </c>
      <c r="Q18" s="153"/>
      <c r="R18" s="154"/>
      <c r="S18" s="123">
        <f t="shared" si="7"/>
        <v>0</v>
      </c>
      <c r="T18" s="135" t="str">
        <f t="shared" si="3"/>
        <v>-</v>
      </c>
    </row>
    <row r="19" spans="1:20" ht="30.75" customHeight="1" x14ac:dyDescent="0.25">
      <c r="A19" s="544" t="s">
        <v>92</v>
      </c>
      <c r="B19" s="544"/>
      <c r="C19" s="544"/>
      <c r="D19" s="544"/>
      <c r="E19" s="544"/>
      <c r="F19" s="544"/>
      <c r="G19" s="544"/>
      <c r="H19" s="544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</row>
    <row r="20" spans="1:20" ht="56.25" customHeight="1" x14ac:dyDescent="0.25">
      <c r="A20" s="112">
        <v>7</v>
      </c>
      <c r="B20" s="115" t="s">
        <v>134</v>
      </c>
      <c r="C20" s="111" t="s">
        <v>142</v>
      </c>
      <c r="D20" s="155">
        <v>21</v>
      </c>
      <c r="E20" s="156"/>
      <c r="F20" s="157">
        <v>31</v>
      </c>
      <c r="G20" s="123">
        <f>E20-F20</f>
        <v>-31</v>
      </c>
      <c r="H20" s="135">
        <f>IFERROR(E20/F20, "-")</f>
        <v>0</v>
      </c>
      <c r="I20" s="161"/>
      <c r="J20" s="157">
        <v>52</v>
      </c>
      <c r="K20" s="123">
        <f>I20-J20</f>
        <v>-52</v>
      </c>
      <c r="L20" s="135">
        <f>IFERROR(I20/J20, "-")</f>
        <v>0</v>
      </c>
      <c r="M20" s="161"/>
      <c r="N20" s="157">
        <v>92</v>
      </c>
      <c r="O20" s="123">
        <f>M20-N20</f>
        <v>-92</v>
      </c>
      <c r="P20" s="136">
        <f>IFERROR(M20/N20, "-")</f>
        <v>0</v>
      </c>
      <c r="Q20" s="156"/>
      <c r="R20" s="157">
        <v>152</v>
      </c>
      <c r="S20" s="123">
        <f>Q20-R20</f>
        <v>-152</v>
      </c>
      <c r="T20" s="135">
        <f>IFERROR(Q20/R20, "-")</f>
        <v>0</v>
      </c>
    </row>
    <row r="21" spans="1:20" ht="50.25" customHeight="1" x14ac:dyDescent="0.25">
      <c r="A21" s="112">
        <v>8</v>
      </c>
      <c r="B21" s="116" t="s">
        <v>337</v>
      </c>
      <c r="C21" s="111" t="s">
        <v>143</v>
      </c>
      <c r="D21" s="155">
        <v>1340.23</v>
      </c>
      <c r="E21" s="156"/>
      <c r="F21" s="157">
        <v>2500</v>
      </c>
      <c r="G21" s="123">
        <f t="shared" ref="G21:G30" si="8">E21-F21</f>
        <v>-2500</v>
      </c>
      <c r="H21" s="135">
        <f t="shared" ref="H21:H30" si="9">IFERROR(E21/F21, "-")</f>
        <v>0</v>
      </c>
      <c r="I21" s="161"/>
      <c r="J21" s="157">
        <v>5000</v>
      </c>
      <c r="K21" s="123">
        <f t="shared" ref="K21:K30" si="10">I21-J21</f>
        <v>-5000</v>
      </c>
      <c r="L21" s="135">
        <f t="shared" ref="L21:L30" si="11">IFERROR(I21/J21, "-")</f>
        <v>0</v>
      </c>
      <c r="M21" s="161"/>
      <c r="N21" s="157">
        <v>7500</v>
      </c>
      <c r="O21" s="123">
        <f t="shared" ref="O21:O30" si="12">M21-N21</f>
        <v>-7500</v>
      </c>
      <c r="P21" s="136">
        <f t="shared" ref="P21:P30" si="13">IFERROR(M21/N21, "-")</f>
        <v>0</v>
      </c>
      <c r="Q21" s="156"/>
      <c r="R21" s="157">
        <v>11000</v>
      </c>
      <c r="S21" s="123">
        <f t="shared" ref="S21:S30" si="14">Q21-R21</f>
        <v>-11000</v>
      </c>
      <c r="T21" s="135">
        <f t="shared" ref="T21:T30" si="15">IFERROR(Q21/R21, "-")</f>
        <v>0</v>
      </c>
    </row>
    <row r="22" spans="1:20" ht="50.25" customHeight="1" x14ac:dyDescent="0.25">
      <c r="A22" s="112">
        <v>10</v>
      </c>
      <c r="B22" s="116" t="s">
        <v>135</v>
      </c>
      <c r="C22" s="111" t="s">
        <v>143</v>
      </c>
      <c r="D22" s="155">
        <v>40006</v>
      </c>
      <c r="E22" s="156"/>
      <c r="F22" s="157">
        <v>8000</v>
      </c>
      <c r="G22" s="123">
        <f t="shared" si="8"/>
        <v>-8000</v>
      </c>
      <c r="H22" s="135">
        <f t="shared" si="9"/>
        <v>0</v>
      </c>
      <c r="I22" s="161"/>
      <c r="J22" s="157">
        <v>13000</v>
      </c>
      <c r="K22" s="123">
        <f t="shared" si="10"/>
        <v>-13000</v>
      </c>
      <c r="L22" s="135">
        <f t="shared" si="11"/>
        <v>0</v>
      </c>
      <c r="M22" s="161"/>
      <c r="N22" s="157">
        <v>25000</v>
      </c>
      <c r="O22" s="123">
        <f t="shared" si="12"/>
        <v>-25000</v>
      </c>
      <c r="P22" s="136">
        <f t="shared" si="13"/>
        <v>0</v>
      </c>
      <c r="Q22" s="156"/>
      <c r="R22" s="157">
        <v>40000</v>
      </c>
      <c r="S22" s="123">
        <f t="shared" si="14"/>
        <v>-40000</v>
      </c>
      <c r="T22" s="135">
        <f t="shared" si="15"/>
        <v>0</v>
      </c>
    </row>
    <row r="23" spans="1:20" ht="60.75" customHeight="1" x14ac:dyDescent="0.25">
      <c r="A23" s="112">
        <v>9</v>
      </c>
      <c r="B23" s="116" t="s">
        <v>136</v>
      </c>
      <c r="C23" s="111" t="s">
        <v>143</v>
      </c>
      <c r="D23" s="155">
        <v>97098</v>
      </c>
      <c r="E23" s="156"/>
      <c r="F23" s="157">
        <v>8000</v>
      </c>
      <c r="G23" s="123">
        <f t="shared" si="8"/>
        <v>-8000</v>
      </c>
      <c r="H23" s="135">
        <f t="shared" si="9"/>
        <v>0</v>
      </c>
      <c r="I23" s="161"/>
      <c r="J23" s="157">
        <v>13000</v>
      </c>
      <c r="K23" s="123">
        <f t="shared" si="10"/>
        <v>-13000</v>
      </c>
      <c r="L23" s="135">
        <f t="shared" si="11"/>
        <v>0</v>
      </c>
      <c r="M23" s="161"/>
      <c r="N23" s="157">
        <v>18000</v>
      </c>
      <c r="O23" s="123">
        <f t="shared" si="12"/>
        <v>-18000</v>
      </c>
      <c r="P23" s="136">
        <f t="shared" si="13"/>
        <v>0</v>
      </c>
      <c r="Q23" s="156"/>
      <c r="R23" s="157">
        <v>25000</v>
      </c>
      <c r="S23" s="123">
        <f t="shared" si="14"/>
        <v>-25000</v>
      </c>
      <c r="T23" s="135">
        <f t="shared" si="15"/>
        <v>0</v>
      </c>
    </row>
    <row r="24" spans="1:20" ht="108" x14ac:dyDescent="0.25">
      <c r="A24" s="112">
        <v>11</v>
      </c>
      <c r="B24" s="116" t="s">
        <v>344</v>
      </c>
      <c r="C24" s="111" t="s">
        <v>77</v>
      </c>
      <c r="D24" s="155">
        <v>5</v>
      </c>
      <c r="E24" s="156"/>
      <c r="F24" s="157">
        <v>10</v>
      </c>
      <c r="G24" s="123">
        <f t="shared" si="8"/>
        <v>-10</v>
      </c>
      <c r="H24" s="135">
        <f t="shared" si="9"/>
        <v>0</v>
      </c>
      <c r="I24" s="161"/>
      <c r="J24" s="157">
        <v>10</v>
      </c>
      <c r="K24" s="123">
        <f t="shared" si="10"/>
        <v>-10</v>
      </c>
      <c r="L24" s="135">
        <f t="shared" si="11"/>
        <v>0</v>
      </c>
      <c r="M24" s="161"/>
      <c r="N24" s="157">
        <v>10</v>
      </c>
      <c r="O24" s="123">
        <f t="shared" si="12"/>
        <v>-10</v>
      </c>
      <c r="P24" s="136">
        <f t="shared" si="13"/>
        <v>0</v>
      </c>
      <c r="Q24" s="163"/>
      <c r="R24" s="164">
        <v>10</v>
      </c>
      <c r="S24" s="123">
        <f t="shared" si="14"/>
        <v>-10</v>
      </c>
      <c r="T24" s="135">
        <f t="shared" si="15"/>
        <v>0</v>
      </c>
    </row>
    <row r="25" spans="1:20" ht="50.25" customHeight="1" x14ac:dyDescent="0.25">
      <c r="A25" s="112">
        <v>12</v>
      </c>
      <c r="B25" s="116" t="s">
        <v>137</v>
      </c>
      <c r="C25" s="111" t="s">
        <v>142</v>
      </c>
      <c r="D25" s="155">
        <v>5</v>
      </c>
      <c r="E25" s="156"/>
      <c r="F25" s="157">
        <v>6</v>
      </c>
      <c r="G25" s="123">
        <f t="shared" si="8"/>
        <v>-6</v>
      </c>
      <c r="H25" s="135">
        <f t="shared" si="9"/>
        <v>0</v>
      </c>
      <c r="I25" s="161"/>
      <c r="J25" s="157">
        <v>6</v>
      </c>
      <c r="K25" s="123">
        <f t="shared" si="10"/>
        <v>-6</v>
      </c>
      <c r="L25" s="135">
        <f t="shared" si="11"/>
        <v>0</v>
      </c>
      <c r="M25" s="161"/>
      <c r="N25" s="157">
        <v>7</v>
      </c>
      <c r="O25" s="123">
        <f t="shared" si="12"/>
        <v>-7</v>
      </c>
      <c r="P25" s="136">
        <f t="shared" si="13"/>
        <v>0</v>
      </c>
      <c r="Q25" s="156"/>
      <c r="R25" s="157">
        <v>7</v>
      </c>
      <c r="S25" s="123">
        <f t="shared" si="14"/>
        <v>-7</v>
      </c>
      <c r="T25" s="135">
        <f t="shared" si="15"/>
        <v>0</v>
      </c>
    </row>
    <row r="26" spans="1:20" ht="50.25" customHeight="1" x14ac:dyDescent="0.25">
      <c r="A26" s="112">
        <v>13</v>
      </c>
      <c r="B26" s="116" t="s">
        <v>138</v>
      </c>
      <c r="C26" s="111" t="s">
        <v>142</v>
      </c>
      <c r="D26" s="155">
        <v>22</v>
      </c>
      <c r="E26" s="156"/>
      <c r="F26" s="157">
        <v>25</v>
      </c>
      <c r="G26" s="123">
        <f t="shared" si="8"/>
        <v>-25</v>
      </c>
      <c r="H26" s="135">
        <f t="shared" si="9"/>
        <v>0</v>
      </c>
      <c r="I26" s="161"/>
      <c r="J26" s="157">
        <v>35</v>
      </c>
      <c r="K26" s="123">
        <f t="shared" si="10"/>
        <v>-35</v>
      </c>
      <c r="L26" s="135">
        <f t="shared" si="11"/>
        <v>0</v>
      </c>
      <c r="M26" s="161"/>
      <c r="N26" s="157">
        <v>50</v>
      </c>
      <c r="O26" s="123">
        <f t="shared" si="12"/>
        <v>-50</v>
      </c>
      <c r="P26" s="136">
        <f t="shared" si="13"/>
        <v>0</v>
      </c>
      <c r="Q26" s="156"/>
      <c r="R26" s="157">
        <v>75</v>
      </c>
      <c r="S26" s="123">
        <f t="shared" si="14"/>
        <v>-75</v>
      </c>
      <c r="T26" s="135">
        <f t="shared" si="15"/>
        <v>0</v>
      </c>
    </row>
    <row r="27" spans="1:20" ht="70.5" customHeight="1" x14ac:dyDescent="0.25">
      <c r="A27" s="112">
        <v>14</v>
      </c>
      <c r="B27" s="116" t="s">
        <v>139</v>
      </c>
      <c r="C27" s="111" t="s">
        <v>142</v>
      </c>
      <c r="D27" s="155">
        <v>1251</v>
      </c>
      <c r="E27" s="156"/>
      <c r="F27" s="157">
        <v>900</v>
      </c>
      <c r="G27" s="123">
        <f t="shared" si="8"/>
        <v>-900</v>
      </c>
      <c r="H27" s="135">
        <f t="shared" si="9"/>
        <v>0</v>
      </c>
      <c r="I27" s="161"/>
      <c r="J27" s="157">
        <v>920</v>
      </c>
      <c r="K27" s="123">
        <f t="shared" si="10"/>
        <v>-920</v>
      </c>
      <c r="L27" s="135">
        <f t="shared" si="11"/>
        <v>0</v>
      </c>
      <c r="M27" s="161"/>
      <c r="N27" s="157">
        <v>940</v>
      </c>
      <c r="O27" s="123">
        <f t="shared" si="12"/>
        <v>-940</v>
      </c>
      <c r="P27" s="136">
        <f t="shared" si="13"/>
        <v>0</v>
      </c>
      <c r="Q27" s="156"/>
      <c r="R27" s="157">
        <v>1000</v>
      </c>
      <c r="S27" s="123">
        <f t="shared" si="14"/>
        <v>-1000</v>
      </c>
      <c r="T27" s="135">
        <f t="shared" si="15"/>
        <v>0</v>
      </c>
    </row>
    <row r="28" spans="1:20" ht="50.25" customHeight="1" x14ac:dyDescent="0.25">
      <c r="A28" s="112">
        <v>15</v>
      </c>
      <c r="B28" s="116" t="s">
        <v>343</v>
      </c>
      <c r="C28" s="111" t="s">
        <v>342</v>
      </c>
      <c r="D28" s="155">
        <v>98</v>
      </c>
      <c r="E28" s="158"/>
      <c r="F28" s="159">
        <v>0</v>
      </c>
      <c r="G28" s="123">
        <f t="shared" si="8"/>
        <v>0</v>
      </c>
      <c r="H28" s="192" t="str">
        <f t="shared" si="9"/>
        <v>-</v>
      </c>
      <c r="I28" s="162"/>
      <c r="J28" s="159">
        <v>0</v>
      </c>
      <c r="K28" s="123">
        <f t="shared" si="10"/>
        <v>0</v>
      </c>
      <c r="L28" s="192" t="str">
        <f t="shared" si="11"/>
        <v>-</v>
      </c>
      <c r="M28" s="162"/>
      <c r="N28" s="159">
        <v>0</v>
      </c>
      <c r="O28" s="123">
        <f t="shared" si="12"/>
        <v>0</v>
      </c>
      <c r="P28" s="194" t="str">
        <f t="shared" si="13"/>
        <v>-</v>
      </c>
      <c r="Q28" s="156"/>
      <c r="R28" s="157">
        <v>90</v>
      </c>
      <c r="S28" s="123">
        <f t="shared" si="14"/>
        <v>-90</v>
      </c>
      <c r="T28" s="192">
        <f t="shared" si="15"/>
        <v>0</v>
      </c>
    </row>
    <row r="29" spans="1:20" ht="50.25" customHeight="1" x14ac:dyDescent="0.25">
      <c r="A29" s="109" t="s">
        <v>79</v>
      </c>
      <c r="B29" s="110" t="s">
        <v>140</v>
      </c>
      <c r="C29" s="111" t="s">
        <v>142</v>
      </c>
      <c r="D29" s="160"/>
      <c r="E29" s="158"/>
      <c r="F29" s="159">
        <v>0</v>
      </c>
      <c r="G29" s="123">
        <f t="shared" si="8"/>
        <v>0</v>
      </c>
      <c r="H29" s="192" t="str">
        <f t="shared" si="9"/>
        <v>-</v>
      </c>
      <c r="I29" s="162"/>
      <c r="J29" s="159">
        <v>0</v>
      </c>
      <c r="K29" s="123">
        <f t="shared" si="10"/>
        <v>0</v>
      </c>
      <c r="L29" s="192" t="str">
        <f t="shared" si="11"/>
        <v>-</v>
      </c>
      <c r="M29" s="162"/>
      <c r="N29" s="159">
        <v>0</v>
      </c>
      <c r="O29" s="123">
        <f t="shared" si="12"/>
        <v>0</v>
      </c>
      <c r="P29" s="194" t="str">
        <f t="shared" si="13"/>
        <v>-</v>
      </c>
      <c r="Q29" s="156"/>
      <c r="R29" s="157">
        <v>8</v>
      </c>
      <c r="S29" s="123">
        <f t="shared" si="14"/>
        <v>-8</v>
      </c>
      <c r="T29" s="192">
        <f t="shared" si="15"/>
        <v>0</v>
      </c>
    </row>
    <row r="30" spans="1:20" ht="57" customHeight="1" x14ac:dyDescent="0.25">
      <c r="A30" s="112">
        <v>6</v>
      </c>
      <c r="B30" s="115" t="s">
        <v>141</v>
      </c>
      <c r="C30" s="111" t="s">
        <v>142</v>
      </c>
      <c r="D30" s="155">
        <v>2</v>
      </c>
      <c r="E30" s="156"/>
      <c r="F30" s="157">
        <v>2</v>
      </c>
      <c r="G30" s="123">
        <f t="shared" si="8"/>
        <v>-2</v>
      </c>
      <c r="H30" s="135">
        <f t="shared" si="9"/>
        <v>0</v>
      </c>
      <c r="I30" s="161"/>
      <c r="J30" s="157">
        <v>3</v>
      </c>
      <c r="K30" s="123">
        <f t="shared" si="10"/>
        <v>-3</v>
      </c>
      <c r="L30" s="135">
        <f t="shared" si="11"/>
        <v>0</v>
      </c>
      <c r="M30" s="161"/>
      <c r="N30" s="157">
        <v>4</v>
      </c>
      <c r="O30" s="123">
        <f t="shared" si="12"/>
        <v>-4</v>
      </c>
      <c r="P30" s="136">
        <f t="shared" si="13"/>
        <v>0</v>
      </c>
      <c r="Q30" s="156"/>
      <c r="R30" s="157">
        <v>5</v>
      </c>
      <c r="S30" s="123">
        <f t="shared" si="14"/>
        <v>-5</v>
      </c>
      <c r="T30" s="135">
        <f t="shared" si="15"/>
        <v>0</v>
      </c>
    </row>
    <row r="31" spans="1:20" x14ac:dyDescent="0.3">
      <c r="B31" s="118"/>
    </row>
    <row r="32" spans="1:20" x14ac:dyDescent="0.3">
      <c r="B32" s="118"/>
    </row>
    <row r="33" spans="1:20" x14ac:dyDescent="0.3">
      <c r="A33" s="120"/>
      <c r="B33" s="118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</row>
    <row r="34" spans="1:20" x14ac:dyDescent="0.3">
      <c r="A34" s="120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</row>
    <row r="35" spans="1:20" x14ac:dyDescent="0.3">
      <c r="A35" s="120"/>
      <c r="B35" s="118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</row>
    <row r="36" spans="1:20" x14ac:dyDescent="0.3">
      <c r="A36" s="120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</row>
    <row r="37" spans="1:20" x14ac:dyDescent="0.3">
      <c r="A37" s="120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</row>
    <row r="38" spans="1:20" x14ac:dyDescent="0.3">
      <c r="A38" s="120"/>
      <c r="B38" s="118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</row>
    <row r="39" spans="1:20" x14ac:dyDescent="0.3">
      <c r="A39" s="120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</row>
    <row r="40" spans="1:20" x14ac:dyDescent="0.3">
      <c r="A40" s="120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</row>
    <row r="41" spans="1:20" x14ac:dyDescent="0.3">
      <c r="A41" s="120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</row>
    <row r="42" spans="1:20" x14ac:dyDescent="0.3">
      <c r="A42" s="120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</row>
    <row r="43" spans="1:20" x14ac:dyDescent="0.3">
      <c r="A43" s="120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</row>
    <row r="44" spans="1:20" x14ac:dyDescent="0.3">
      <c r="A44" s="120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</row>
    <row r="45" spans="1:20" x14ac:dyDescent="0.3">
      <c r="A45" s="120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</row>
    <row r="46" spans="1:20" x14ac:dyDescent="0.3">
      <c r="A46" s="120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</row>
    <row r="47" spans="1:20" x14ac:dyDescent="0.3">
      <c r="A47" s="120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</row>
    <row r="48" spans="1:20" x14ac:dyDescent="0.3">
      <c r="A48" s="120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</row>
    <row r="49" spans="1:20" x14ac:dyDescent="0.3">
      <c r="A49" s="120"/>
      <c r="B49" s="122"/>
      <c r="C49" s="29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</row>
    <row r="50" spans="1:20" x14ac:dyDescent="0.3">
      <c r="A50" s="120"/>
      <c r="B50" s="122"/>
      <c r="C50" s="29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</row>
    <row r="51" spans="1:20" x14ac:dyDescent="0.3">
      <c r="A51" s="120"/>
      <c r="B51" s="122"/>
      <c r="C51" s="29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</row>
    <row r="52" spans="1:20" x14ac:dyDescent="0.3">
      <c r="A52" s="120"/>
      <c r="B52" s="122"/>
      <c r="C52" s="29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</row>
    <row r="53" spans="1:20" x14ac:dyDescent="0.3">
      <c r="A53" s="120"/>
      <c r="B53" s="122"/>
      <c r="C53" s="29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</row>
    <row r="54" spans="1:20" x14ac:dyDescent="0.3">
      <c r="A54" s="120"/>
      <c r="B54" s="122"/>
      <c r="C54" s="29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</row>
    <row r="55" spans="1:20" x14ac:dyDescent="0.3">
      <c r="A55" s="120"/>
      <c r="B55" s="122"/>
      <c r="C55" s="29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</row>
    <row r="56" spans="1:20" x14ac:dyDescent="0.3">
      <c r="A56" s="120"/>
      <c r="B56" s="122"/>
      <c r="C56" s="29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</row>
    <row r="57" spans="1:20" x14ac:dyDescent="0.3">
      <c r="A57" s="120"/>
      <c r="B57" s="122"/>
      <c r="C57" s="29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</row>
    <row r="58" spans="1:20" x14ac:dyDescent="0.3">
      <c r="A58" s="120"/>
      <c r="B58" s="122"/>
      <c r="C58" s="29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</row>
    <row r="59" spans="1:20" x14ac:dyDescent="0.3">
      <c r="A59" s="120"/>
      <c r="B59" s="122"/>
      <c r="C59" s="29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</row>
    <row r="60" spans="1:20" x14ac:dyDescent="0.3">
      <c r="A60" s="120"/>
      <c r="B60" s="122"/>
      <c r="C60" s="29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</row>
    <row r="61" spans="1:20" x14ac:dyDescent="0.3">
      <c r="A61" s="120"/>
      <c r="B61" s="122"/>
      <c r="C61" s="29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</row>
    <row r="62" spans="1:20" x14ac:dyDescent="0.3">
      <c r="A62" s="120"/>
      <c r="B62" s="122"/>
      <c r="C62" s="29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</row>
    <row r="63" spans="1:20" x14ac:dyDescent="0.3">
      <c r="A63" s="120"/>
      <c r="B63" s="122"/>
      <c r="C63" s="29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</row>
    <row r="64" spans="1:20" x14ac:dyDescent="0.3">
      <c r="A64" s="120"/>
      <c r="B64" s="122"/>
      <c r="C64" s="29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</row>
    <row r="65" spans="1:20" x14ac:dyDescent="0.3">
      <c r="A65" s="120"/>
      <c r="B65" s="122"/>
      <c r="C65" s="29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</row>
    <row r="66" spans="1:20" x14ac:dyDescent="0.3">
      <c r="A66" s="120"/>
      <c r="B66" s="122"/>
      <c r="C66" s="29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</row>
    <row r="67" spans="1:20" x14ac:dyDescent="0.3">
      <c r="A67" s="120"/>
      <c r="B67" s="122"/>
      <c r="C67" s="29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</row>
    <row r="68" spans="1:20" x14ac:dyDescent="0.3">
      <c r="A68" s="120"/>
      <c r="B68" s="122"/>
      <c r="C68" s="29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</row>
    <row r="69" spans="1:20" x14ac:dyDescent="0.3">
      <c r="A69" s="120"/>
      <c r="B69" s="122"/>
      <c r="C69" s="29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</row>
    <row r="70" spans="1:20" x14ac:dyDescent="0.3">
      <c r="A70" s="120"/>
      <c r="B70" s="122"/>
      <c r="C70" s="29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</row>
    <row r="71" spans="1:20" x14ac:dyDescent="0.3">
      <c r="A71" s="120"/>
      <c r="B71" s="122"/>
      <c r="C71" s="29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</row>
    <row r="72" spans="1:20" x14ac:dyDescent="0.3">
      <c r="A72" s="120"/>
      <c r="B72" s="122"/>
      <c r="C72" s="29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</row>
    <row r="73" spans="1:20" x14ac:dyDescent="0.3">
      <c r="A73" s="120"/>
      <c r="B73" s="122"/>
      <c r="C73" s="29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</row>
    <row r="74" spans="1:20" x14ac:dyDescent="0.3">
      <c r="A74" s="120"/>
      <c r="B74" s="122"/>
      <c r="C74" s="29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</row>
    <row r="75" spans="1:20" x14ac:dyDescent="0.3">
      <c r="A75" s="120"/>
      <c r="B75" s="122"/>
      <c r="C75" s="29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</row>
    <row r="76" spans="1:20" x14ac:dyDescent="0.3">
      <c r="A76" s="120"/>
      <c r="B76" s="122"/>
      <c r="C76" s="29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</row>
    <row r="77" spans="1:20" x14ac:dyDescent="0.3">
      <c r="A77" s="120"/>
      <c r="B77" s="122"/>
      <c r="C77" s="29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</row>
    <row r="78" spans="1:20" x14ac:dyDescent="0.3">
      <c r="A78" s="120"/>
      <c r="B78" s="122"/>
      <c r="C78" s="29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</row>
    <row r="79" spans="1:20" x14ac:dyDescent="0.3">
      <c r="A79" s="120"/>
      <c r="B79" s="122"/>
      <c r="C79" s="29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</row>
    <row r="80" spans="1:20" x14ac:dyDescent="0.3">
      <c r="A80" s="120"/>
      <c r="B80" s="122"/>
      <c r="C80" s="29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</row>
    <row r="81" spans="1:20" x14ac:dyDescent="0.3">
      <c r="A81" s="120"/>
      <c r="B81" s="122"/>
      <c r="C81" s="29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</row>
    <row r="82" spans="1:20" x14ac:dyDescent="0.3">
      <c r="A82" s="120"/>
      <c r="B82" s="122"/>
      <c r="C82" s="29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</row>
  </sheetData>
  <mergeCells count="11">
    <mergeCell ref="A6:T6"/>
    <mergeCell ref="A19:T19"/>
    <mergeCell ref="A2:T2"/>
    <mergeCell ref="A4:A5"/>
    <mergeCell ref="B4:B5"/>
    <mergeCell ref="C4:C5"/>
    <mergeCell ref="D4:D5"/>
    <mergeCell ref="E4:H4"/>
    <mergeCell ref="I4:L4"/>
    <mergeCell ref="M4:P4"/>
    <mergeCell ref="Q4:T4"/>
  </mergeCells>
  <conditionalFormatting sqref="D29">
    <cfRule type="dataBar" priority="1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{600AC436-49DD-4B2C-9E2A-6C7CCC0D609E}</x14:id>
        </ext>
      </extLst>
    </cfRule>
    <cfRule type="dataBar" priority="1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{BE1307A0-A15B-47E4-B65A-234E79EA3841}</x14:id>
        </ext>
      </extLst>
    </cfRule>
  </conditionalFormatting>
  <conditionalFormatting sqref="H7:H18 L7:L18 P7:P18 T7:T18 H20:H30 L20:L30 P20:P30 T20:T30">
    <cfRule type="cellIs" dxfId="2" priority="7" operator="lessThan">
      <formula>1</formula>
    </cfRule>
    <cfRule type="cellIs" dxfId="1" priority="8" operator="lessThan">
      <formula>1</formula>
    </cfRule>
  </conditionalFormatting>
  <printOptions horizontalCentered="1"/>
  <pageMargins left="0.11811023622047245" right="0" top="0.35433070866141736" bottom="0.15748031496062992" header="0.31496062992125984" footer="0.11811023622047245"/>
  <pageSetup paperSize="8" scale="56" orientation="landscape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0AC436-49DD-4B2C-9E2A-6C7CCC0D6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1307A0-A15B-47E4-B65A-234E79EA3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8"/>
  </sheetPr>
  <dimension ref="A1:G39"/>
  <sheetViews>
    <sheetView zoomScale="78" zoomScaleNormal="78" workbookViewId="0">
      <pane ySplit="5" topLeftCell="A6" activePane="bottomLeft" state="frozen"/>
      <selection activeCell="H7" sqref="H7"/>
      <selection pane="bottomLeft" activeCell="I9" sqref="I9"/>
    </sheetView>
  </sheetViews>
  <sheetFormatPr defaultRowHeight="14.25" x14ac:dyDescent="0.2"/>
  <cols>
    <col min="1" max="1" width="5.7109375" style="3" customWidth="1"/>
    <col min="2" max="2" width="43.85546875" style="7" customWidth="1"/>
    <col min="3" max="4" width="15.28515625" style="2" customWidth="1"/>
    <col min="5" max="6" width="13.7109375" style="2" customWidth="1"/>
    <col min="7" max="16384" width="9.140625" style="2"/>
  </cols>
  <sheetData>
    <row r="1" spans="1:7" ht="18.75" x14ac:dyDescent="0.25">
      <c r="A1" s="4"/>
      <c r="B1" s="6"/>
      <c r="C1" s="5"/>
      <c r="D1" s="5"/>
      <c r="E1" s="5"/>
      <c r="F1" s="24" t="s">
        <v>157</v>
      </c>
      <c r="G1" s="25"/>
    </row>
    <row r="2" spans="1:7" ht="16.5" x14ac:dyDescent="0.25">
      <c r="A2" s="4"/>
      <c r="B2" s="6"/>
      <c r="C2" s="5"/>
      <c r="D2" s="5"/>
      <c r="E2" s="5"/>
      <c r="F2" s="5"/>
    </row>
    <row r="3" spans="1:7" ht="31.5" customHeight="1" x14ac:dyDescent="0.2">
      <c r="A3" s="551" t="s">
        <v>413</v>
      </c>
      <c r="B3" s="552"/>
      <c r="C3" s="553"/>
      <c r="D3" s="553"/>
      <c r="E3" s="553"/>
      <c r="F3" s="553"/>
    </row>
    <row r="4" spans="1:7" ht="18.75" thickBot="1" x14ac:dyDescent="0.3">
      <c r="A4" s="26"/>
      <c r="B4" s="27"/>
      <c r="C4" s="17"/>
      <c r="D4" s="17"/>
      <c r="E4" s="17"/>
      <c r="F4" s="17"/>
    </row>
    <row r="5" spans="1:7" s="1" customFormat="1" ht="40.5" customHeight="1" thickBot="1" x14ac:dyDescent="0.3">
      <c r="A5" s="46" t="s">
        <v>93</v>
      </c>
      <c r="B5" s="47" t="s">
        <v>153</v>
      </c>
      <c r="C5" s="47" t="s">
        <v>154</v>
      </c>
      <c r="D5" s="47" t="s">
        <v>155</v>
      </c>
      <c r="E5" s="48" t="s">
        <v>156</v>
      </c>
      <c r="F5" s="48" t="s">
        <v>375</v>
      </c>
    </row>
    <row r="6" spans="1:7" s="1" customFormat="1" ht="7.5" customHeight="1" x14ac:dyDescent="0.25">
      <c r="A6" s="28"/>
      <c r="B6" s="29"/>
      <c r="C6" s="30"/>
      <c r="D6" s="30"/>
      <c r="E6" s="30"/>
      <c r="F6" s="29"/>
    </row>
    <row r="7" spans="1:7" ht="85.5" x14ac:dyDescent="0.2">
      <c r="A7" s="32">
        <v>1</v>
      </c>
      <c r="B7" s="92" t="s">
        <v>507</v>
      </c>
      <c r="C7" s="195">
        <f>C9+C10</f>
        <v>20423</v>
      </c>
      <c r="D7" s="195">
        <f>D9+D10</f>
        <v>33405</v>
      </c>
      <c r="E7" s="539">
        <v>0.42</v>
      </c>
      <c r="F7" s="35">
        <f>IFERROR(D7/C7, "-")</f>
        <v>1.6356558781765655</v>
      </c>
    </row>
    <row r="8" spans="1:7" s="98" customFormat="1" ht="18.75" x14ac:dyDescent="0.2">
      <c r="A8" s="95"/>
      <c r="B8" s="412" t="s">
        <v>146</v>
      </c>
      <c r="C8" s="196"/>
      <c r="D8" s="196"/>
      <c r="E8" s="93"/>
      <c r="F8" s="97"/>
    </row>
    <row r="9" spans="1:7" s="98" customFormat="1" ht="33" customHeight="1" x14ac:dyDescent="0.2">
      <c r="A9" s="99" t="s">
        <v>3</v>
      </c>
      <c r="B9" s="91" t="s">
        <v>346</v>
      </c>
      <c r="C9" s="197">
        <v>14547</v>
      </c>
      <c r="D9" s="197">
        <v>24594</v>
      </c>
      <c r="E9" s="15">
        <f>D9/$D$7</f>
        <v>0.73623709025594974</v>
      </c>
      <c r="F9" s="16">
        <f t="shared" ref="F9:F19" si="0">IFERROR(D9/C9, "-")</f>
        <v>1.6906578676015673</v>
      </c>
    </row>
    <row r="10" spans="1:7" s="98" customFormat="1" ht="33" customHeight="1" x14ac:dyDescent="0.2">
      <c r="A10" s="99" t="s">
        <v>4</v>
      </c>
      <c r="B10" s="91" t="s">
        <v>472</v>
      </c>
      <c r="C10" s="197">
        <v>5876</v>
      </c>
      <c r="D10" s="197">
        <v>8811</v>
      </c>
      <c r="E10" s="15">
        <f>D10/$D$7</f>
        <v>0.26376290974405031</v>
      </c>
      <c r="F10" s="16">
        <f t="shared" si="0"/>
        <v>1.499489448604493</v>
      </c>
    </row>
    <row r="11" spans="1:7" ht="49.5" customHeight="1" x14ac:dyDescent="0.2">
      <c r="A11" s="14" t="s">
        <v>6</v>
      </c>
      <c r="B11" s="31" t="s">
        <v>471</v>
      </c>
      <c r="C11" s="197">
        <v>466.4</v>
      </c>
      <c r="D11" s="197">
        <v>716.4</v>
      </c>
      <c r="E11" s="93" t="s">
        <v>98</v>
      </c>
      <c r="F11" s="16">
        <f t="shared" si="0"/>
        <v>1.5360205831903946</v>
      </c>
    </row>
    <row r="12" spans="1:7" ht="49.5" customHeight="1" x14ac:dyDescent="0.2">
      <c r="A12" s="23" t="s">
        <v>8</v>
      </c>
      <c r="B12" s="31" t="s">
        <v>436</v>
      </c>
      <c r="C12" s="198"/>
      <c r="D12" s="198">
        <v>164.6</v>
      </c>
      <c r="E12" s="94" t="s">
        <v>98</v>
      </c>
      <c r="F12" s="22" t="str">
        <f t="shared" si="0"/>
        <v>-</v>
      </c>
    </row>
    <row r="13" spans="1:7" s="85" customFormat="1" ht="33" x14ac:dyDescent="0.2">
      <c r="A13" s="74" t="s">
        <v>15</v>
      </c>
      <c r="B13" s="66" t="s">
        <v>147</v>
      </c>
      <c r="C13" s="199"/>
      <c r="D13" s="199">
        <v>86.7</v>
      </c>
      <c r="E13" s="21">
        <f>D13/D12</f>
        <v>0.52673147023086275</v>
      </c>
      <c r="F13" s="21" t="str">
        <f t="shared" si="0"/>
        <v>-</v>
      </c>
    </row>
    <row r="14" spans="1:7" ht="49.5" customHeight="1" x14ac:dyDescent="0.2">
      <c r="A14" s="37">
        <v>4</v>
      </c>
      <c r="B14" s="415" t="s">
        <v>148</v>
      </c>
      <c r="C14" s="416">
        <v>2600</v>
      </c>
      <c r="D14" s="416">
        <v>3435</v>
      </c>
      <c r="E14" s="417">
        <v>1</v>
      </c>
      <c r="F14" s="418">
        <f t="shared" si="0"/>
        <v>1.3211538461538461</v>
      </c>
    </row>
    <row r="15" spans="1:7" s="85" customFormat="1" ht="33" customHeight="1" x14ac:dyDescent="0.2">
      <c r="A15" s="74" t="s">
        <v>1</v>
      </c>
      <c r="B15" s="412" t="s">
        <v>149</v>
      </c>
      <c r="C15" s="414">
        <v>642</v>
      </c>
      <c r="D15" s="414">
        <v>972</v>
      </c>
      <c r="E15" s="20">
        <f>D15/D14</f>
        <v>0.28296943231441046</v>
      </c>
      <c r="F15" s="21">
        <f t="shared" si="0"/>
        <v>1.514018691588785</v>
      </c>
    </row>
    <row r="16" spans="1:7" s="85" customFormat="1" ht="49.5" customHeight="1" x14ac:dyDescent="0.2">
      <c r="A16" s="23" t="s">
        <v>2</v>
      </c>
      <c r="B16" s="419" t="s">
        <v>473</v>
      </c>
      <c r="C16" s="413">
        <v>2017</v>
      </c>
      <c r="D16" s="413">
        <v>3435</v>
      </c>
      <c r="E16" s="94" t="s">
        <v>98</v>
      </c>
      <c r="F16" s="21">
        <f t="shared" si="0"/>
        <v>1.7030242935052058</v>
      </c>
    </row>
    <row r="17" spans="1:6" s="85" customFormat="1" ht="42.75" customHeight="1" x14ac:dyDescent="0.2">
      <c r="A17" s="74" t="s">
        <v>61</v>
      </c>
      <c r="B17" s="96" t="s">
        <v>474</v>
      </c>
      <c r="C17" s="413">
        <v>715</v>
      </c>
      <c r="D17" s="413">
        <v>919</v>
      </c>
      <c r="E17" s="20">
        <f>D17/$D$16</f>
        <v>0.26754002911208152</v>
      </c>
      <c r="F17" s="21">
        <f t="shared" si="0"/>
        <v>1.2853146853146853</v>
      </c>
    </row>
    <row r="18" spans="1:6" s="85" customFormat="1" ht="66.75" customHeight="1" x14ac:dyDescent="0.2">
      <c r="A18" s="74" t="s">
        <v>62</v>
      </c>
      <c r="B18" s="96" t="s">
        <v>475</v>
      </c>
      <c r="C18" s="413">
        <v>723</v>
      </c>
      <c r="D18" s="413">
        <v>1349</v>
      </c>
      <c r="E18" s="20">
        <f>D18/$D$16</f>
        <v>0.39272197962154293</v>
      </c>
      <c r="F18" s="21">
        <f t="shared" si="0"/>
        <v>1.8658367911479945</v>
      </c>
    </row>
    <row r="19" spans="1:6" ht="49.5" customHeight="1" x14ac:dyDescent="0.2">
      <c r="A19" s="37" t="s">
        <v>17</v>
      </c>
      <c r="B19" s="92" t="s">
        <v>517</v>
      </c>
      <c r="C19" s="416">
        <v>38651</v>
      </c>
      <c r="D19" s="416">
        <v>53026</v>
      </c>
      <c r="E19" s="420" t="s">
        <v>98</v>
      </c>
      <c r="F19" s="418">
        <f t="shared" si="0"/>
        <v>1.3719179322656594</v>
      </c>
    </row>
    <row r="20" spans="1:6" x14ac:dyDescent="0.2">
      <c r="C20" s="191"/>
      <c r="D20" s="191"/>
    </row>
    <row r="24" spans="1:6" x14ac:dyDescent="0.2">
      <c r="B24" s="8"/>
    </row>
    <row r="25" spans="1:6" x14ac:dyDescent="0.2">
      <c r="B25" s="8"/>
    </row>
    <row r="26" spans="1:6" x14ac:dyDescent="0.2">
      <c r="B26" s="8"/>
    </row>
    <row r="27" spans="1:6" x14ac:dyDescent="0.2">
      <c r="B27" s="8"/>
    </row>
    <row r="28" spans="1:6" x14ac:dyDescent="0.2">
      <c r="B28" s="8"/>
    </row>
    <row r="29" spans="1:6" x14ac:dyDescent="0.2">
      <c r="B29" s="8"/>
    </row>
    <row r="30" spans="1:6" x14ac:dyDescent="0.2">
      <c r="B30" s="8"/>
    </row>
    <row r="31" spans="1:6" x14ac:dyDescent="0.2">
      <c r="B31" s="8"/>
    </row>
    <row r="32" spans="1:6" x14ac:dyDescent="0.2">
      <c r="B32" s="8"/>
    </row>
    <row r="33" spans="2:2" x14ac:dyDescent="0.2">
      <c r="B33" s="8"/>
    </row>
    <row r="34" spans="2:2" x14ac:dyDescent="0.2">
      <c r="B34" s="8"/>
    </row>
    <row r="35" spans="2:2" x14ac:dyDescent="0.2">
      <c r="B35" s="8"/>
    </row>
    <row r="36" spans="2:2" x14ac:dyDescent="0.2">
      <c r="B36" s="8"/>
    </row>
    <row r="37" spans="2:2" x14ac:dyDescent="0.2">
      <c r="B37" s="8"/>
    </row>
    <row r="38" spans="2:2" x14ac:dyDescent="0.2">
      <c r="B38" s="8"/>
    </row>
    <row r="39" spans="2:2" x14ac:dyDescent="0.2">
      <c r="B39" s="8"/>
    </row>
  </sheetData>
  <mergeCells count="1">
    <mergeCell ref="A3:F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8"/>
  </sheetPr>
  <dimension ref="A1:F25"/>
  <sheetViews>
    <sheetView zoomScale="70" zoomScaleNormal="70" workbookViewId="0">
      <pane ySplit="5" topLeftCell="A6" activePane="bottomLeft" state="frozen"/>
      <selection activeCell="H7" sqref="H7"/>
      <selection pane="bottomLeft" activeCell="H10" sqref="H10"/>
    </sheetView>
  </sheetViews>
  <sheetFormatPr defaultRowHeight="14.25" x14ac:dyDescent="0.2"/>
  <cols>
    <col min="1" max="1" width="6" style="3" customWidth="1"/>
    <col min="2" max="2" width="51.5703125" style="2" customWidth="1"/>
    <col min="3" max="4" width="12.7109375" style="2" customWidth="1"/>
    <col min="5" max="5" width="12.7109375" style="9" customWidth="1"/>
    <col min="6" max="6" width="12.7109375" style="2" customWidth="1"/>
    <col min="7" max="16384" width="9.140625" style="2"/>
  </cols>
  <sheetData>
    <row r="1" spans="1:6" ht="15" x14ac:dyDescent="0.2">
      <c r="F1" s="51" t="s">
        <v>158</v>
      </c>
    </row>
    <row r="3" spans="1:6" ht="18" x14ac:dyDescent="0.2">
      <c r="A3" s="551" t="s">
        <v>351</v>
      </c>
      <c r="B3" s="551"/>
      <c r="C3" s="551"/>
      <c r="D3" s="551"/>
      <c r="E3" s="551"/>
      <c r="F3" s="551"/>
    </row>
    <row r="4" spans="1:6" ht="15.75" thickBot="1" x14ac:dyDescent="0.25">
      <c r="F4" s="45" t="s">
        <v>389</v>
      </c>
    </row>
    <row r="5" spans="1:6" s="1" customFormat="1" ht="40.5" customHeight="1" thickBot="1" x14ac:dyDescent="0.3">
      <c r="A5" s="46" t="s">
        <v>93</v>
      </c>
      <c r="B5" s="47" t="s">
        <v>153</v>
      </c>
      <c r="C5" s="49" t="str">
        <f>'2-жадвал'!C5</f>
        <v>2024-йил</v>
      </c>
      <c r="D5" s="49" t="str">
        <f>'2-жадвал'!D5</f>
        <v>2025-йил</v>
      </c>
      <c r="E5" s="48" t="s">
        <v>156</v>
      </c>
      <c r="F5" s="50" t="s">
        <v>375</v>
      </c>
    </row>
    <row r="6" spans="1:6" s="1" customFormat="1" ht="7.5" customHeight="1" x14ac:dyDescent="0.25">
      <c r="A6" s="10"/>
      <c r="B6" s="11"/>
      <c r="C6" s="11"/>
      <c r="D6" s="11"/>
      <c r="E6" s="11"/>
      <c r="F6" s="12"/>
    </row>
    <row r="7" spans="1:6" s="17" customFormat="1" ht="30" customHeight="1" x14ac:dyDescent="0.25">
      <c r="A7" s="32"/>
      <c r="B7" s="33" t="s">
        <v>566</v>
      </c>
      <c r="C7" s="177"/>
      <c r="D7" s="177">
        <v>1200</v>
      </c>
      <c r="E7" s="178">
        <v>100</v>
      </c>
      <c r="F7" s="179" t="str">
        <f>IFERROR(D7/C7, "-")</f>
        <v>-</v>
      </c>
    </row>
    <row r="8" spans="1:6" s="17" customFormat="1" ht="30" customHeight="1" x14ac:dyDescent="0.25">
      <c r="A8" s="180" t="s">
        <v>31</v>
      </c>
      <c r="B8" s="421" t="s">
        <v>159</v>
      </c>
      <c r="C8" s="181"/>
      <c r="D8" s="182">
        <v>1020</v>
      </c>
      <c r="E8" s="292" t="s">
        <v>98</v>
      </c>
      <c r="F8" s="220" t="s">
        <v>98</v>
      </c>
    </row>
    <row r="9" spans="1:6" s="17" customFormat="1" ht="30" customHeight="1" x14ac:dyDescent="0.25">
      <c r="A9" s="183" t="s">
        <v>31</v>
      </c>
      <c r="B9" s="422" t="s">
        <v>480</v>
      </c>
      <c r="C9" s="184">
        <f>C7-C8</f>
        <v>0</v>
      </c>
      <c r="D9" s="185">
        <f>D7-D8</f>
        <v>180</v>
      </c>
      <c r="E9" s="293" t="s">
        <v>98</v>
      </c>
      <c r="F9" s="294" t="s">
        <v>98</v>
      </c>
    </row>
    <row r="10" spans="1:6" s="17" customFormat="1" ht="38.25" customHeight="1" x14ac:dyDescent="0.25">
      <c r="A10" s="32">
        <v>1</v>
      </c>
      <c r="B10" s="33" t="s">
        <v>476</v>
      </c>
      <c r="C10" s="175">
        <v>466.4</v>
      </c>
      <c r="D10" s="175">
        <v>716.4</v>
      </c>
      <c r="E10" s="295">
        <f>E12+E13+E14+E15+E16</f>
        <v>1</v>
      </c>
      <c r="F10" s="34">
        <f t="shared" ref="F10:F25" si="0">IFERROR(D10/C10, "-")</f>
        <v>1.5360205831903946</v>
      </c>
    </row>
    <row r="11" spans="1:6" s="17" customFormat="1" ht="38.25" customHeight="1" x14ac:dyDescent="0.25">
      <c r="A11" s="32"/>
      <c r="B11" s="125" t="s">
        <v>479</v>
      </c>
      <c r="C11" s="175">
        <v>275.2</v>
      </c>
      <c r="D11" s="175">
        <v>411</v>
      </c>
      <c r="E11" s="295">
        <f>D11/D10</f>
        <v>0.57370184254606371</v>
      </c>
      <c r="F11" s="34">
        <f t="shared" si="0"/>
        <v>1.4934593023255816</v>
      </c>
    </row>
    <row r="12" spans="1:6" s="19" customFormat="1" ht="34.5" customHeight="1" x14ac:dyDescent="0.3">
      <c r="A12" s="74" t="s">
        <v>3</v>
      </c>
      <c r="B12" s="124" t="s">
        <v>9</v>
      </c>
      <c r="C12" s="176">
        <v>254.8</v>
      </c>
      <c r="D12" s="176">
        <v>319.3</v>
      </c>
      <c r="E12" s="296">
        <f>D12/$D$10</f>
        <v>0.44570072585147963</v>
      </c>
      <c r="F12" s="15">
        <f t="shared" si="0"/>
        <v>1.2531397174254317</v>
      </c>
    </row>
    <row r="13" spans="1:6" s="19" customFormat="1" ht="34.5" customHeight="1" x14ac:dyDescent="0.3">
      <c r="A13" s="74" t="s">
        <v>4</v>
      </c>
      <c r="B13" s="124" t="s">
        <v>94</v>
      </c>
      <c r="C13" s="176">
        <v>19.399999999999999</v>
      </c>
      <c r="D13" s="176">
        <v>46.1</v>
      </c>
      <c r="E13" s="296">
        <f>D13/$D$10</f>
        <v>6.4349525404801794E-2</v>
      </c>
      <c r="F13" s="15">
        <f t="shared" si="0"/>
        <v>2.3762886597938149</v>
      </c>
    </row>
    <row r="14" spans="1:6" s="19" customFormat="1" ht="34.5" customHeight="1" x14ac:dyDescent="0.3">
      <c r="A14" s="74" t="s">
        <v>5</v>
      </c>
      <c r="B14" s="124" t="s">
        <v>567</v>
      </c>
      <c r="C14" s="176">
        <v>104.1</v>
      </c>
      <c r="D14" s="176">
        <v>179.7</v>
      </c>
      <c r="E14" s="296">
        <f>D14/$D$10</f>
        <v>0.25083752093802342</v>
      </c>
      <c r="F14" s="15">
        <f t="shared" si="0"/>
        <v>1.7262247838616716</v>
      </c>
    </row>
    <row r="15" spans="1:6" s="19" customFormat="1" ht="34.5" customHeight="1" x14ac:dyDescent="0.3">
      <c r="A15" s="74" t="s">
        <v>29</v>
      </c>
      <c r="B15" s="124" t="s">
        <v>348</v>
      </c>
      <c r="C15" s="176">
        <v>29.7</v>
      </c>
      <c r="D15" s="176">
        <v>72.900000000000006</v>
      </c>
      <c r="E15" s="296">
        <f>D15/$D$10</f>
        <v>0.10175879396984926</v>
      </c>
      <c r="F15" s="15">
        <f t="shared" si="0"/>
        <v>2.4545454545454546</v>
      </c>
    </row>
    <row r="16" spans="1:6" s="19" customFormat="1" ht="34.5" customHeight="1" x14ac:dyDescent="0.3">
      <c r="A16" s="74" t="s">
        <v>30</v>
      </c>
      <c r="B16" s="124" t="s">
        <v>347</v>
      </c>
      <c r="C16" s="176">
        <v>58.4</v>
      </c>
      <c r="D16" s="176">
        <v>98.4</v>
      </c>
      <c r="E16" s="296">
        <f>D16/$D$10</f>
        <v>0.13735343383584592</v>
      </c>
      <c r="F16" s="15">
        <f t="shared" si="0"/>
        <v>1.6849315068493151</v>
      </c>
    </row>
    <row r="17" spans="1:6" s="17" customFormat="1" ht="38.25" customHeight="1" x14ac:dyDescent="0.25">
      <c r="A17" s="37" t="s">
        <v>6</v>
      </c>
      <c r="B17" s="55" t="s">
        <v>349</v>
      </c>
      <c r="C17" s="554"/>
      <c r="D17" s="555"/>
      <c r="E17" s="555"/>
      <c r="F17" s="555"/>
    </row>
    <row r="18" spans="1:6" s="19" customFormat="1" ht="34.5" customHeight="1" x14ac:dyDescent="0.3">
      <c r="A18" s="74" t="s">
        <v>7</v>
      </c>
      <c r="B18" s="124" t="s">
        <v>160</v>
      </c>
      <c r="C18" s="176">
        <v>56.063999999999993</v>
      </c>
      <c r="D18" s="176">
        <v>77.900000000000006</v>
      </c>
      <c r="E18" s="296">
        <f>D18/$D$10</f>
        <v>0.10873813512004468</v>
      </c>
      <c r="F18" s="349">
        <f t="shared" si="0"/>
        <v>1.3894834474885847</v>
      </c>
    </row>
    <row r="19" spans="1:6" s="19" customFormat="1" ht="34.5" customHeight="1" x14ac:dyDescent="0.3">
      <c r="A19" s="74" t="s">
        <v>11</v>
      </c>
      <c r="B19" s="124" t="s">
        <v>161</v>
      </c>
      <c r="C19" s="176">
        <v>210.24</v>
      </c>
      <c r="D19" s="176">
        <v>324.5</v>
      </c>
      <c r="E19" s="296">
        <f>D19/$D$10</f>
        <v>0.45295924064768289</v>
      </c>
      <c r="F19" s="349">
        <f t="shared" si="0"/>
        <v>1.5434741248097412</v>
      </c>
    </row>
    <row r="20" spans="1:6" s="19" customFormat="1" ht="34.5" customHeight="1" x14ac:dyDescent="0.3">
      <c r="A20" s="74" t="s">
        <v>12</v>
      </c>
      <c r="B20" s="124" t="s">
        <v>481</v>
      </c>
      <c r="C20" s="176">
        <v>97.311999999999998</v>
      </c>
      <c r="D20" s="176">
        <v>168.5</v>
      </c>
      <c r="E20" s="296">
        <f>D20/$D$10</f>
        <v>0.2352037967615857</v>
      </c>
      <c r="F20" s="349">
        <f t="shared" si="0"/>
        <v>1.7315439000328841</v>
      </c>
    </row>
    <row r="21" spans="1:6" s="19" customFormat="1" ht="34.5" customHeight="1" x14ac:dyDescent="0.3">
      <c r="A21" s="74" t="s">
        <v>13</v>
      </c>
      <c r="B21" s="124" t="s">
        <v>162</v>
      </c>
      <c r="C21" s="176">
        <v>28.031999999999996</v>
      </c>
      <c r="D21" s="176">
        <v>35.33</v>
      </c>
      <c r="E21" s="296">
        <f>D21/$D$10</f>
        <v>4.9316024567280847E-2</v>
      </c>
      <c r="F21" s="349">
        <f t="shared" si="0"/>
        <v>1.2603453196347032</v>
      </c>
    </row>
    <row r="22" spans="1:6" s="19" customFormat="1" ht="34.5" customHeight="1" x14ac:dyDescent="0.3">
      <c r="A22" s="74" t="s">
        <v>22</v>
      </c>
      <c r="B22" s="124" t="s">
        <v>163</v>
      </c>
      <c r="C22" s="176">
        <v>74.751999999999995</v>
      </c>
      <c r="D22" s="176">
        <v>110.12</v>
      </c>
      <c r="E22" s="296">
        <f>D22/$D$10</f>
        <v>0.15371300949190397</v>
      </c>
      <c r="F22" s="349">
        <f t="shared" si="0"/>
        <v>1.4731378424657535</v>
      </c>
    </row>
    <row r="23" spans="1:6" s="17" customFormat="1" ht="38.25" customHeight="1" x14ac:dyDescent="0.25">
      <c r="A23" s="37" t="s">
        <v>8</v>
      </c>
      <c r="B23" s="55" t="s">
        <v>164</v>
      </c>
      <c r="C23" s="428">
        <v>86</v>
      </c>
      <c r="D23" s="428">
        <v>94</v>
      </c>
      <c r="E23" s="40" t="s">
        <v>98</v>
      </c>
      <c r="F23" s="310">
        <f t="shared" si="0"/>
        <v>1.0930232558139534</v>
      </c>
    </row>
    <row r="24" spans="1:6" s="17" customFormat="1" ht="38.25" customHeight="1" x14ac:dyDescent="0.25">
      <c r="A24" s="37" t="s">
        <v>14</v>
      </c>
      <c r="B24" s="55" t="s">
        <v>350</v>
      </c>
      <c r="C24" s="428">
        <v>650</v>
      </c>
      <c r="D24" s="428">
        <v>900</v>
      </c>
      <c r="E24" s="40">
        <v>1</v>
      </c>
      <c r="F24" s="310">
        <f t="shared" si="0"/>
        <v>1.3846153846153846</v>
      </c>
    </row>
    <row r="25" spans="1:6" s="17" customFormat="1" ht="37.5" x14ac:dyDescent="0.25">
      <c r="A25" s="37"/>
      <c r="B25" s="125" t="s">
        <v>390</v>
      </c>
      <c r="C25" s="430">
        <v>284</v>
      </c>
      <c r="D25" s="430">
        <v>382</v>
      </c>
      <c r="E25" s="431">
        <f>D25/D24</f>
        <v>0.42444444444444446</v>
      </c>
      <c r="F25" s="349">
        <f t="shared" si="0"/>
        <v>1.3450704225352113</v>
      </c>
    </row>
  </sheetData>
  <mergeCells count="2">
    <mergeCell ref="A3:F3"/>
    <mergeCell ref="C17:F17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110"/>
  <sheetViews>
    <sheetView zoomScale="85" zoomScaleNormal="85" workbookViewId="0">
      <pane ySplit="6" topLeftCell="A10" activePane="bottomLeft" state="frozen"/>
      <selection activeCell="H7" sqref="H7"/>
      <selection pane="bottomLeft" activeCell="F38" sqref="F38:F39"/>
    </sheetView>
  </sheetViews>
  <sheetFormatPr defaultRowHeight="16.5" x14ac:dyDescent="0.2"/>
  <cols>
    <col min="1" max="1" width="5.85546875" style="52" bestFit="1" customWidth="1"/>
    <col min="2" max="2" width="32.42578125" style="2" bestFit="1" customWidth="1"/>
    <col min="3" max="6" width="14.140625" style="2" customWidth="1"/>
    <col min="7" max="9" width="9.140625" style="2"/>
    <col min="10" max="11" width="11.42578125" style="2" bestFit="1" customWidth="1"/>
    <col min="12" max="16384" width="9.140625" style="2"/>
  </cols>
  <sheetData>
    <row r="1" spans="1:9" x14ac:dyDescent="0.2">
      <c r="F1" s="51" t="s">
        <v>165</v>
      </c>
    </row>
    <row r="2" spans="1:9" ht="18" customHeight="1" x14ac:dyDescent="0.2">
      <c r="A2" s="556" t="s">
        <v>371</v>
      </c>
      <c r="B2" s="553"/>
      <c r="C2" s="553"/>
      <c r="D2" s="553"/>
      <c r="E2" s="553"/>
      <c r="F2" s="553"/>
    </row>
    <row r="3" spans="1:9" ht="18.75" thickBot="1" x14ac:dyDescent="0.3">
      <c r="B3" s="274"/>
      <c r="C3" s="274"/>
      <c r="D3" s="274"/>
      <c r="E3" s="274"/>
      <c r="F3" s="38" t="s">
        <v>389</v>
      </c>
    </row>
    <row r="4" spans="1:9" s="17" customFormat="1" ht="39" customHeight="1" thickBot="1" x14ac:dyDescent="0.3">
      <c r="A4" s="46" t="s">
        <v>93</v>
      </c>
      <c r="B4" s="297" t="s">
        <v>320</v>
      </c>
      <c r="C4" s="298" t="str">
        <f>'2-жадвал'!C5</f>
        <v>2024-йил</v>
      </c>
      <c r="D4" s="298" t="str">
        <f>'2-жадвал'!D5</f>
        <v>2025-йил</v>
      </c>
      <c r="E4" s="48" t="s">
        <v>156</v>
      </c>
      <c r="F4" s="48" t="s">
        <v>375</v>
      </c>
    </row>
    <row r="5" spans="1:9" s="1" customFormat="1" ht="7.5" customHeight="1" x14ac:dyDescent="0.25">
      <c r="A5" s="62"/>
      <c r="B5" s="63"/>
      <c r="C5" s="304"/>
      <c r="D5" s="304"/>
      <c r="E5" s="304"/>
      <c r="F5" s="305"/>
    </row>
    <row r="6" spans="1:9" s="191" customFormat="1" ht="21.95" customHeight="1" x14ac:dyDescent="0.25">
      <c r="A6" s="53"/>
      <c r="B6" s="306" t="s">
        <v>271</v>
      </c>
      <c r="C6" s="325">
        <f>'2-жадвал'!C11</f>
        <v>466.4</v>
      </c>
      <c r="D6" s="326">
        <f>'2-жадвал'!D11</f>
        <v>716.4</v>
      </c>
      <c r="E6" s="327">
        <f>SUM(E7:E474)</f>
        <v>0.99995651376605188</v>
      </c>
      <c r="F6" s="540">
        <f t="shared" ref="F6" si="0">D6/C6</f>
        <v>1.5360205831903946</v>
      </c>
      <c r="H6" s="303">
        <f>SUM(C7:C518)-C6</f>
        <v>4.902538799984768E-2</v>
      </c>
      <c r="I6" s="303">
        <f>SUM(D7:D518)-D6</f>
        <v>-3.1153538000125991E-2</v>
      </c>
    </row>
    <row r="7" spans="1:9" s="17" customFormat="1" ht="18" x14ac:dyDescent="0.25">
      <c r="A7" s="53">
        <v>1</v>
      </c>
      <c r="B7" s="281" t="s">
        <v>233</v>
      </c>
      <c r="C7" s="328">
        <v>211.535814762</v>
      </c>
      <c r="D7" s="329">
        <v>320.30287813300004</v>
      </c>
      <c r="E7" s="324">
        <f t="shared" ref="E7:E38" si="1">D7/$D$6</f>
        <v>0.44710061157593528</v>
      </c>
      <c r="F7" s="541">
        <f>IFERROR(D7/C7, "-")</f>
        <v>1.514178005712056</v>
      </c>
      <c r="I7" s="98"/>
    </row>
    <row r="8" spans="1:9" s="17" customFormat="1" ht="18" x14ac:dyDescent="0.25">
      <c r="A8" s="53">
        <v>2</v>
      </c>
      <c r="B8" s="281" t="s">
        <v>225</v>
      </c>
      <c r="C8" s="328">
        <v>62.846855994999935</v>
      </c>
      <c r="D8" s="329">
        <v>81.57124746800001</v>
      </c>
      <c r="E8" s="324">
        <f t="shared" si="1"/>
        <v>0.11386271282523731</v>
      </c>
      <c r="F8" s="541">
        <f t="shared" ref="F8:F71" si="2">IFERROR(D8/C8, "-")</f>
        <v>1.2979368048974442</v>
      </c>
    </row>
    <row r="9" spans="1:9" s="17" customFormat="1" ht="18" x14ac:dyDescent="0.25">
      <c r="A9" s="53">
        <v>3</v>
      </c>
      <c r="B9" s="281" t="s">
        <v>178</v>
      </c>
      <c r="C9" s="328">
        <v>33.212987802999997</v>
      </c>
      <c r="D9" s="329">
        <v>49.169851940999997</v>
      </c>
      <c r="E9" s="324">
        <f t="shared" si="1"/>
        <v>6.8634634200167507E-2</v>
      </c>
      <c r="F9" s="541">
        <f t="shared" si="2"/>
        <v>1.480440490107267</v>
      </c>
    </row>
    <row r="10" spans="1:9" s="17" customFormat="1" ht="18" x14ac:dyDescent="0.25">
      <c r="A10" s="53">
        <v>4</v>
      </c>
      <c r="B10" s="281" t="s">
        <v>200</v>
      </c>
      <c r="C10" s="328">
        <v>15.118613308</v>
      </c>
      <c r="D10" s="329">
        <v>48.753742779</v>
      </c>
      <c r="E10" s="324">
        <f t="shared" si="1"/>
        <v>6.8053800640703516E-2</v>
      </c>
      <c r="F10" s="541">
        <f t="shared" si="2"/>
        <v>3.2247496371378186</v>
      </c>
    </row>
    <row r="11" spans="1:9" s="17" customFormat="1" ht="18" x14ac:dyDescent="0.25">
      <c r="A11" s="53">
        <v>5</v>
      </c>
      <c r="B11" s="281" t="s">
        <v>220</v>
      </c>
      <c r="C11" s="328">
        <v>25.57712647</v>
      </c>
      <c r="D11" s="329">
        <v>31.714376279999996</v>
      </c>
      <c r="E11" s="324">
        <f t="shared" si="1"/>
        <v>4.4269090284757118E-2</v>
      </c>
      <c r="F11" s="541">
        <f t="shared" si="2"/>
        <v>1.2399507160117662</v>
      </c>
    </row>
    <row r="12" spans="1:9" s="17" customFormat="1" ht="18" x14ac:dyDescent="0.25">
      <c r="A12" s="53">
        <v>6</v>
      </c>
      <c r="B12" s="281" t="s">
        <v>230</v>
      </c>
      <c r="C12" s="328">
        <v>28.4</v>
      </c>
      <c r="D12" s="329">
        <v>30.293815226</v>
      </c>
      <c r="E12" s="324">
        <f t="shared" si="1"/>
        <v>4.2286174240647685E-2</v>
      </c>
      <c r="F12" s="541">
        <f t="shared" si="2"/>
        <v>1.06668363471831</v>
      </c>
    </row>
    <row r="13" spans="1:9" s="17" customFormat="1" ht="18" x14ac:dyDescent="0.25">
      <c r="A13" s="53">
        <v>7</v>
      </c>
      <c r="B13" s="281" t="s">
        <v>201</v>
      </c>
      <c r="C13" s="328">
        <v>2.7503112999999999</v>
      </c>
      <c r="D13" s="329">
        <v>22.198083857</v>
      </c>
      <c r="E13" s="324">
        <f t="shared" si="1"/>
        <v>3.098560002372976E-2</v>
      </c>
      <c r="F13" s="541">
        <f t="shared" si="2"/>
        <v>8.0711168430279159</v>
      </c>
    </row>
    <row r="14" spans="1:9" s="17" customFormat="1" ht="18" x14ac:dyDescent="0.25">
      <c r="A14" s="53">
        <v>8</v>
      </c>
      <c r="B14" s="281" t="s">
        <v>195</v>
      </c>
      <c r="C14" s="328">
        <v>12.070990618000002</v>
      </c>
      <c r="D14" s="329">
        <v>17.615123403999998</v>
      </c>
      <c r="E14" s="324">
        <f t="shared" si="1"/>
        <v>2.4588391127861528E-2</v>
      </c>
      <c r="F14" s="541">
        <f t="shared" si="2"/>
        <v>1.4592939354730925</v>
      </c>
    </row>
    <row r="15" spans="1:9" s="17" customFormat="1" ht="18" x14ac:dyDescent="0.25">
      <c r="A15" s="53">
        <v>9</v>
      </c>
      <c r="B15" s="281" t="s">
        <v>184</v>
      </c>
      <c r="C15" s="328">
        <v>6.6099415300000004</v>
      </c>
      <c r="D15" s="329">
        <v>16.0337143</v>
      </c>
      <c r="E15" s="324">
        <f t="shared" si="1"/>
        <v>2.2380952400893356E-2</v>
      </c>
      <c r="F15" s="541">
        <f t="shared" si="2"/>
        <v>2.4256968427374273</v>
      </c>
    </row>
    <row r="16" spans="1:9" s="17" customFormat="1" ht="18" x14ac:dyDescent="0.25">
      <c r="A16" s="53">
        <v>10</v>
      </c>
      <c r="B16" s="281" t="s">
        <v>192</v>
      </c>
      <c r="C16" s="328">
        <v>4.5725358099999998</v>
      </c>
      <c r="D16" s="329">
        <v>11.534110349999999</v>
      </c>
      <c r="E16" s="324">
        <f t="shared" si="1"/>
        <v>1.6100098199329983E-2</v>
      </c>
      <c r="F16" s="541">
        <f t="shared" si="2"/>
        <v>2.5224756741708272</v>
      </c>
    </row>
    <row r="17" spans="1:6" s="17" customFormat="1" ht="18" x14ac:dyDescent="0.25">
      <c r="A17" s="53">
        <v>11</v>
      </c>
      <c r="B17" s="281" t="s">
        <v>219</v>
      </c>
      <c r="C17" s="328">
        <v>10.45669929</v>
      </c>
      <c r="D17" s="329">
        <v>8.8492378799999987</v>
      </c>
      <c r="E17" s="324">
        <f t="shared" si="1"/>
        <v>1.2352370016750417E-2</v>
      </c>
      <c r="F17" s="541">
        <f t="shared" si="2"/>
        <v>0.84627449203428318</v>
      </c>
    </row>
    <row r="18" spans="1:6" s="17" customFormat="1" ht="18" x14ac:dyDescent="0.25">
      <c r="A18" s="53">
        <v>12</v>
      </c>
      <c r="B18" s="281" t="s">
        <v>238</v>
      </c>
      <c r="C18" s="328">
        <v>5.3113989899999998</v>
      </c>
      <c r="D18" s="329">
        <v>8.4641775999999993</v>
      </c>
      <c r="E18" s="324">
        <f t="shared" si="1"/>
        <v>1.1814876605248464E-2</v>
      </c>
      <c r="F18" s="541">
        <f t="shared" si="2"/>
        <v>1.5935872292659377</v>
      </c>
    </row>
    <row r="19" spans="1:6" s="17" customFormat="1" ht="18" x14ac:dyDescent="0.25">
      <c r="A19" s="53">
        <v>13</v>
      </c>
      <c r="B19" s="281" t="s">
        <v>182</v>
      </c>
      <c r="C19" s="328">
        <v>3.8519187949999991</v>
      </c>
      <c r="D19" s="329">
        <v>5.5486305280000012</v>
      </c>
      <c r="E19" s="324">
        <f t="shared" si="1"/>
        <v>7.7451570742601917E-3</v>
      </c>
      <c r="F19" s="541">
        <f t="shared" si="2"/>
        <v>1.440484813751117</v>
      </c>
    </row>
    <row r="20" spans="1:6" s="17" customFormat="1" ht="18" x14ac:dyDescent="0.25">
      <c r="A20" s="53">
        <v>14</v>
      </c>
      <c r="B20" s="281" t="s">
        <v>206</v>
      </c>
      <c r="C20" s="328">
        <v>3.0167539150000002</v>
      </c>
      <c r="D20" s="329">
        <v>5.1824266349999997</v>
      </c>
      <c r="E20" s="324">
        <f t="shared" si="1"/>
        <v>7.2339846943048573E-3</v>
      </c>
      <c r="F20" s="541">
        <f t="shared" si="2"/>
        <v>1.717881796467313</v>
      </c>
    </row>
    <row r="21" spans="1:6" s="17" customFormat="1" ht="18" x14ac:dyDescent="0.25">
      <c r="A21" s="53">
        <v>15</v>
      </c>
      <c r="B21" s="281" t="s">
        <v>205</v>
      </c>
      <c r="C21" s="328">
        <v>2.7810285930000003</v>
      </c>
      <c r="D21" s="329">
        <v>4.5950129250000007</v>
      </c>
      <c r="E21" s="324">
        <f t="shared" si="1"/>
        <v>6.4140325586264672E-3</v>
      </c>
      <c r="F21" s="541">
        <f t="shared" si="2"/>
        <v>1.6522710110086236</v>
      </c>
    </row>
    <row r="22" spans="1:6" s="17" customFormat="1" ht="18" x14ac:dyDescent="0.25">
      <c r="A22" s="53">
        <v>16</v>
      </c>
      <c r="B22" s="281" t="s">
        <v>223</v>
      </c>
      <c r="C22" s="328">
        <v>2.8846206369999998</v>
      </c>
      <c r="D22" s="329">
        <v>4.2894266219999997</v>
      </c>
      <c r="E22" s="324">
        <f t="shared" si="1"/>
        <v>5.9874743467336683E-3</v>
      </c>
      <c r="F22" s="541">
        <f t="shared" si="2"/>
        <v>1.4869985213934389</v>
      </c>
    </row>
    <row r="23" spans="1:6" s="17" customFormat="1" ht="18" x14ac:dyDescent="0.25">
      <c r="A23" s="53">
        <v>17</v>
      </c>
      <c r="B23" s="281" t="s">
        <v>197</v>
      </c>
      <c r="C23" s="328">
        <v>0.80831293999999998</v>
      </c>
      <c r="D23" s="329">
        <v>4.0188041099999996</v>
      </c>
      <c r="E23" s="324">
        <f t="shared" si="1"/>
        <v>5.6097209798994969E-3</v>
      </c>
      <c r="F23" s="541">
        <f t="shared" si="2"/>
        <v>4.9718418586741908</v>
      </c>
    </row>
    <row r="24" spans="1:6" s="17" customFormat="1" ht="18" x14ac:dyDescent="0.25">
      <c r="A24" s="53">
        <v>18</v>
      </c>
      <c r="B24" s="281" t="s">
        <v>242</v>
      </c>
      <c r="C24" s="328">
        <v>0.14579956700000002</v>
      </c>
      <c r="D24" s="329">
        <v>3.5242979000000001</v>
      </c>
      <c r="E24" s="324">
        <f t="shared" si="1"/>
        <v>4.9194554718034623E-3</v>
      </c>
      <c r="F24" s="541">
        <f t="shared" si="2"/>
        <v>24.172211018980597</v>
      </c>
    </row>
    <row r="25" spans="1:6" s="17" customFormat="1" ht="18" x14ac:dyDescent="0.25">
      <c r="A25" s="53">
        <v>19</v>
      </c>
      <c r="B25" s="281" t="s">
        <v>250</v>
      </c>
      <c r="C25" s="328">
        <v>2.1756227000000004</v>
      </c>
      <c r="D25" s="329">
        <v>3.1422970889999999</v>
      </c>
      <c r="E25" s="324">
        <f t="shared" si="1"/>
        <v>4.386232675879397E-3</v>
      </c>
      <c r="F25" s="541">
        <f t="shared" si="2"/>
        <v>1.4443207864120922</v>
      </c>
    </row>
    <row r="26" spans="1:6" s="17" customFormat="1" ht="18" x14ac:dyDescent="0.25">
      <c r="A26" s="53">
        <v>20</v>
      </c>
      <c r="B26" s="281" t="s">
        <v>217</v>
      </c>
      <c r="C26" s="328">
        <v>2.7587333900000002</v>
      </c>
      <c r="D26" s="329">
        <v>3.12734347</v>
      </c>
      <c r="E26" s="324">
        <f t="shared" si="1"/>
        <v>4.3653593941931886E-3</v>
      </c>
      <c r="F26" s="541">
        <f t="shared" si="2"/>
        <v>1.133615695281087</v>
      </c>
    </row>
    <row r="27" spans="1:6" s="17" customFormat="1" ht="18" x14ac:dyDescent="0.25">
      <c r="A27" s="53">
        <v>21</v>
      </c>
      <c r="B27" s="281" t="s">
        <v>247</v>
      </c>
      <c r="C27" s="328">
        <v>2.4033483000000002</v>
      </c>
      <c r="D27" s="329">
        <v>3.1162102190000005</v>
      </c>
      <c r="E27" s="324">
        <f t="shared" si="1"/>
        <v>4.3498188428252385E-3</v>
      </c>
      <c r="F27" s="541">
        <f t="shared" si="2"/>
        <v>1.2966119887824832</v>
      </c>
    </row>
    <row r="28" spans="1:6" s="17" customFormat="1" ht="18" x14ac:dyDescent="0.25">
      <c r="A28" s="53">
        <v>22</v>
      </c>
      <c r="B28" s="281" t="s">
        <v>241</v>
      </c>
      <c r="C28" s="328">
        <v>0.96958800000000001</v>
      </c>
      <c r="D28" s="329">
        <v>3.0077942000000002</v>
      </c>
      <c r="E28" s="324">
        <f t="shared" si="1"/>
        <v>4.1984843662758236E-3</v>
      </c>
      <c r="F28" s="541">
        <f t="shared" si="2"/>
        <v>3.1021363713247276</v>
      </c>
    </row>
    <row r="29" spans="1:6" s="17" customFormat="1" ht="18" x14ac:dyDescent="0.25">
      <c r="A29" s="53">
        <v>23</v>
      </c>
      <c r="B29" s="281" t="s">
        <v>202</v>
      </c>
      <c r="C29" s="328">
        <v>3.3148557599999999</v>
      </c>
      <c r="D29" s="329">
        <v>2.6062867299999999</v>
      </c>
      <c r="E29" s="324">
        <f t="shared" si="1"/>
        <v>3.6380328447794528E-3</v>
      </c>
      <c r="F29" s="541">
        <f t="shared" si="2"/>
        <v>0.78624438548722853</v>
      </c>
    </row>
    <row r="30" spans="1:6" s="17" customFormat="1" ht="18" x14ac:dyDescent="0.25">
      <c r="A30" s="53">
        <v>24</v>
      </c>
      <c r="B30" s="281" t="s">
        <v>174</v>
      </c>
      <c r="C30" s="328">
        <v>1.2549806100000001</v>
      </c>
      <c r="D30" s="329">
        <v>2.0206920139999998</v>
      </c>
      <c r="E30" s="324">
        <f t="shared" si="1"/>
        <v>2.8206197850362924E-3</v>
      </c>
      <c r="F30" s="541">
        <f t="shared" si="2"/>
        <v>1.6101380355191302</v>
      </c>
    </row>
    <row r="31" spans="1:6" s="17" customFormat="1" ht="18" x14ac:dyDescent="0.25">
      <c r="A31" s="53">
        <v>25</v>
      </c>
      <c r="B31" s="281" t="s">
        <v>188</v>
      </c>
      <c r="C31" s="328">
        <v>1.3841593800000001</v>
      </c>
      <c r="D31" s="329">
        <v>1.9577309699999998</v>
      </c>
      <c r="E31" s="324">
        <f t="shared" si="1"/>
        <v>2.7327344639865997E-3</v>
      </c>
      <c r="F31" s="541">
        <f t="shared" si="2"/>
        <v>1.4143826197240377</v>
      </c>
    </row>
    <row r="32" spans="1:6" s="17" customFormat="1" ht="18" x14ac:dyDescent="0.25">
      <c r="A32" s="53">
        <v>26</v>
      </c>
      <c r="B32" s="281" t="s">
        <v>246</v>
      </c>
      <c r="C32" s="328">
        <v>0.44050912999999997</v>
      </c>
      <c r="D32" s="329">
        <v>1.7360491700000003</v>
      </c>
      <c r="E32" s="324">
        <f t="shared" si="1"/>
        <v>2.4232958821887216E-3</v>
      </c>
      <c r="F32" s="541">
        <f t="shared" si="2"/>
        <v>3.941006103551135</v>
      </c>
    </row>
    <row r="33" spans="1:6" s="17" customFormat="1" ht="18" x14ac:dyDescent="0.25">
      <c r="A33" s="53">
        <v>27</v>
      </c>
      <c r="B33" s="281" t="s">
        <v>194</v>
      </c>
      <c r="C33" s="328">
        <v>0.95559810999999983</v>
      </c>
      <c r="D33" s="329">
        <v>1.6655412150000002</v>
      </c>
      <c r="E33" s="324">
        <f t="shared" si="1"/>
        <v>2.3248760678391965E-3</v>
      </c>
      <c r="F33" s="541">
        <f t="shared" si="2"/>
        <v>1.7429306290695787</v>
      </c>
    </row>
    <row r="34" spans="1:6" s="17" customFormat="1" ht="18" x14ac:dyDescent="0.25">
      <c r="A34" s="53">
        <v>28</v>
      </c>
      <c r="B34" s="281" t="s">
        <v>248</v>
      </c>
      <c r="C34" s="328">
        <v>1.6546471699999998</v>
      </c>
      <c r="D34" s="329">
        <v>1.57300493</v>
      </c>
      <c r="E34" s="324">
        <f t="shared" si="1"/>
        <v>2.1957076074818538E-3</v>
      </c>
      <c r="F34" s="541">
        <f t="shared" si="2"/>
        <v>0.95065882232766286</v>
      </c>
    </row>
    <row r="35" spans="1:6" s="17" customFormat="1" ht="18" x14ac:dyDescent="0.25">
      <c r="A35" s="53">
        <v>29</v>
      </c>
      <c r="B35" s="281" t="s">
        <v>226</v>
      </c>
      <c r="C35" s="328">
        <v>0.18581700000000001</v>
      </c>
      <c r="D35" s="329">
        <v>1.5184976699999999</v>
      </c>
      <c r="E35" s="324">
        <f t="shared" si="1"/>
        <v>2.1196226549413735E-3</v>
      </c>
      <c r="F35" s="541">
        <f t="shared" si="2"/>
        <v>8.172006167358207</v>
      </c>
    </row>
    <row r="36" spans="1:6" s="17" customFormat="1" ht="18" x14ac:dyDescent="0.25">
      <c r="A36" s="53">
        <v>30</v>
      </c>
      <c r="B36" s="281" t="s">
        <v>186</v>
      </c>
      <c r="C36" s="328">
        <v>0.66301442199999994</v>
      </c>
      <c r="D36" s="329">
        <v>1.4685900979999997</v>
      </c>
      <c r="E36" s="324">
        <f t="shared" si="1"/>
        <v>2.0499582607481849E-3</v>
      </c>
      <c r="F36" s="541">
        <f t="shared" si="2"/>
        <v>2.2150198385880659</v>
      </c>
    </row>
    <row r="37" spans="1:6" s="17" customFormat="1" ht="18" x14ac:dyDescent="0.25">
      <c r="A37" s="53">
        <v>31</v>
      </c>
      <c r="B37" s="281" t="s">
        <v>168</v>
      </c>
      <c r="C37" s="328">
        <v>0.82013840199999999</v>
      </c>
      <c r="D37" s="329">
        <v>1.3420637</v>
      </c>
      <c r="E37" s="324">
        <f t="shared" si="1"/>
        <v>1.8733440815187046E-3</v>
      </c>
      <c r="F37" s="541">
        <f t="shared" si="2"/>
        <v>1.6363868546177405</v>
      </c>
    </row>
    <row r="38" spans="1:6" s="17" customFormat="1" ht="18" x14ac:dyDescent="0.25">
      <c r="A38" s="53">
        <v>32</v>
      </c>
      <c r="B38" s="281" t="s">
        <v>172</v>
      </c>
      <c r="C38" s="328">
        <v>1.0024342500000001</v>
      </c>
      <c r="D38" s="329">
        <v>1.3281757999999999</v>
      </c>
      <c r="E38" s="324">
        <f t="shared" si="1"/>
        <v>1.8539584031267448E-3</v>
      </c>
      <c r="F38" s="541">
        <f t="shared" si="2"/>
        <v>1.3249505391500738</v>
      </c>
    </row>
    <row r="39" spans="1:6" s="17" customFormat="1" ht="18" x14ac:dyDescent="0.25">
      <c r="A39" s="53">
        <v>33</v>
      </c>
      <c r="B39" s="281" t="s">
        <v>171</v>
      </c>
      <c r="C39" s="328">
        <v>2.5951095119999996</v>
      </c>
      <c r="D39" s="329">
        <v>1.2403303199999998</v>
      </c>
      <c r="E39" s="324">
        <f t="shared" ref="E39:E70" si="3">D39/$D$6</f>
        <v>1.7313376884422107E-3</v>
      </c>
      <c r="F39" s="541">
        <f t="shared" si="2"/>
        <v>0.47794912479207929</v>
      </c>
    </row>
    <row r="40" spans="1:6" s="17" customFormat="1" ht="18" x14ac:dyDescent="0.25">
      <c r="A40" s="53">
        <v>34</v>
      </c>
      <c r="B40" s="281" t="s">
        <v>179</v>
      </c>
      <c r="C40" s="328">
        <v>0.72616720299999993</v>
      </c>
      <c r="D40" s="329">
        <v>0.99820187999999999</v>
      </c>
      <c r="E40" s="324">
        <f t="shared" si="3"/>
        <v>1.3933582914572864E-3</v>
      </c>
      <c r="F40" s="541">
        <f t="shared" si="2"/>
        <v>1.3746171348363692</v>
      </c>
    </row>
    <row r="41" spans="1:6" s="17" customFormat="1" ht="18" x14ac:dyDescent="0.25">
      <c r="A41" s="53">
        <v>35</v>
      </c>
      <c r="B41" s="281" t="s">
        <v>234</v>
      </c>
      <c r="C41" s="328">
        <v>1.1833341800000001</v>
      </c>
      <c r="D41" s="329">
        <v>0.89933225000000006</v>
      </c>
      <c r="E41" s="324">
        <f t="shared" si="3"/>
        <v>1.2553493160245674E-3</v>
      </c>
      <c r="F41" s="541">
        <f t="shared" si="2"/>
        <v>0.75999854073343842</v>
      </c>
    </row>
    <row r="42" spans="1:6" s="17" customFormat="1" ht="18" x14ac:dyDescent="0.25">
      <c r="A42" s="53">
        <v>36</v>
      </c>
      <c r="B42" s="281" t="s">
        <v>218</v>
      </c>
      <c r="C42" s="328">
        <v>0.85186799999999996</v>
      </c>
      <c r="D42" s="329">
        <v>0.88594399999999995</v>
      </c>
      <c r="E42" s="324">
        <f t="shared" si="3"/>
        <v>1.2366610831937464E-3</v>
      </c>
      <c r="F42" s="541">
        <f t="shared" si="2"/>
        <v>1.0400015025802118</v>
      </c>
    </row>
    <row r="43" spans="1:6" s="17" customFormat="1" ht="18" x14ac:dyDescent="0.25">
      <c r="A43" s="53">
        <v>37</v>
      </c>
      <c r="B43" s="281" t="s">
        <v>166</v>
      </c>
      <c r="C43" s="328">
        <v>0.14344751</v>
      </c>
      <c r="D43" s="329">
        <v>0.79891924999999997</v>
      </c>
      <c r="E43" s="324">
        <f t="shared" si="3"/>
        <v>1.1151859994416528E-3</v>
      </c>
      <c r="F43" s="541">
        <f t="shared" si="2"/>
        <v>5.5694187372091717</v>
      </c>
    </row>
    <row r="44" spans="1:6" s="17" customFormat="1" ht="18" x14ac:dyDescent="0.25">
      <c r="A44" s="53">
        <v>38</v>
      </c>
      <c r="B44" s="281" t="s">
        <v>221</v>
      </c>
      <c r="C44" s="328">
        <v>0.35373940000000004</v>
      </c>
      <c r="D44" s="329">
        <v>0.76134267</v>
      </c>
      <c r="E44" s="324">
        <f t="shared" si="3"/>
        <v>1.0627340452261306E-3</v>
      </c>
      <c r="F44" s="541">
        <f t="shared" si="2"/>
        <v>2.1522699196074848</v>
      </c>
    </row>
    <row r="45" spans="1:6" s="17" customFormat="1" ht="18" x14ac:dyDescent="0.25">
      <c r="A45" s="53">
        <v>39</v>
      </c>
      <c r="B45" s="281" t="s">
        <v>207</v>
      </c>
      <c r="C45" s="328">
        <v>0.53036668000000009</v>
      </c>
      <c r="D45" s="329">
        <v>0.67218571900000001</v>
      </c>
      <c r="E45" s="324">
        <f t="shared" si="3"/>
        <v>9.3828268983807937E-4</v>
      </c>
      <c r="F45" s="541">
        <f t="shared" si="2"/>
        <v>1.267398093334219</v>
      </c>
    </row>
    <row r="46" spans="1:6" s="17" customFormat="1" ht="18" x14ac:dyDescent="0.25">
      <c r="A46" s="53">
        <v>40</v>
      </c>
      <c r="B46" s="281" t="s">
        <v>243</v>
      </c>
      <c r="C46" s="328">
        <v>1.2263693999999998</v>
      </c>
      <c r="D46" s="329">
        <v>0.52098096000000005</v>
      </c>
      <c r="E46" s="324">
        <f t="shared" si="3"/>
        <v>7.2722077051926308E-4</v>
      </c>
      <c r="F46" s="541">
        <f t="shared" si="2"/>
        <v>0.42481568767126782</v>
      </c>
    </row>
    <row r="47" spans="1:6" s="17" customFormat="1" ht="18" x14ac:dyDescent="0.25">
      <c r="A47" s="53">
        <v>41</v>
      </c>
      <c r="B47" s="281" t="s">
        <v>208</v>
      </c>
      <c r="C47" s="328">
        <v>0.12890582</v>
      </c>
      <c r="D47" s="329">
        <v>0.48887593000000007</v>
      </c>
      <c r="E47" s="324">
        <f t="shared" si="3"/>
        <v>6.8240637911781135E-4</v>
      </c>
      <c r="F47" s="541">
        <f t="shared" si="2"/>
        <v>3.7925047139066339</v>
      </c>
    </row>
    <row r="48" spans="1:6" s="17" customFormat="1" ht="18" x14ac:dyDescent="0.25">
      <c r="A48" s="53">
        <v>42</v>
      </c>
      <c r="B48" s="281" t="s">
        <v>204</v>
      </c>
      <c r="C48" s="328">
        <v>8.2650000000000001E-2</v>
      </c>
      <c r="D48" s="329">
        <v>0.37047952000000001</v>
      </c>
      <c r="E48" s="324">
        <f t="shared" si="3"/>
        <v>5.1714059184812956E-4</v>
      </c>
      <c r="F48" s="541">
        <f t="shared" si="2"/>
        <v>4.4825108287961282</v>
      </c>
    </row>
    <row r="49" spans="1:6" s="17" customFormat="1" ht="18" x14ac:dyDescent="0.25">
      <c r="A49" s="53">
        <v>43</v>
      </c>
      <c r="B49" s="281" t="s">
        <v>167</v>
      </c>
      <c r="C49" s="328">
        <v>0.13982518099999999</v>
      </c>
      <c r="D49" s="329">
        <v>0.36897630999999997</v>
      </c>
      <c r="E49" s="324">
        <f t="shared" si="3"/>
        <v>5.150423087660525E-4</v>
      </c>
      <c r="F49" s="541">
        <f t="shared" si="2"/>
        <v>2.6388402100477166</v>
      </c>
    </row>
    <row r="50" spans="1:6" s="17" customFormat="1" ht="18" x14ac:dyDescent="0.25">
      <c r="A50" s="53">
        <v>44</v>
      </c>
      <c r="B50" s="281" t="s">
        <v>180</v>
      </c>
      <c r="C50" s="328">
        <v>0.51330756</v>
      </c>
      <c r="D50" s="329">
        <v>0.35343603000000001</v>
      </c>
      <c r="E50" s="324">
        <f t="shared" si="3"/>
        <v>4.9335012562814074E-4</v>
      </c>
      <c r="F50" s="541">
        <f t="shared" si="2"/>
        <v>0.68854631714366332</v>
      </c>
    </row>
    <row r="51" spans="1:6" s="17" customFormat="1" ht="18" x14ac:dyDescent="0.25">
      <c r="A51" s="53">
        <v>45</v>
      </c>
      <c r="B51" s="281" t="s">
        <v>209</v>
      </c>
      <c r="C51" s="328">
        <v>0.20232092999999998</v>
      </c>
      <c r="D51" s="329">
        <v>0.34172667000000007</v>
      </c>
      <c r="E51" s="324">
        <f t="shared" si="3"/>
        <v>4.7700540201005038E-4</v>
      </c>
      <c r="F51" s="541">
        <f t="shared" si="2"/>
        <v>1.6890327164866239</v>
      </c>
    </row>
    <row r="52" spans="1:6" s="17" customFormat="1" ht="18" x14ac:dyDescent="0.25">
      <c r="A52" s="53">
        <v>46</v>
      </c>
      <c r="B52" s="281" t="s">
        <v>189</v>
      </c>
      <c r="C52" s="328">
        <v>0.38983145000000002</v>
      </c>
      <c r="D52" s="329">
        <v>0.32129118000000001</v>
      </c>
      <c r="E52" s="324">
        <f t="shared" si="3"/>
        <v>4.4848015075376886E-4</v>
      </c>
      <c r="F52" s="541">
        <f t="shared" si="2"/>
        <v>0.82417973203547323</v>
      </c>
    </row>
    <row r="53" spans="1:6" s="17" customFormat="1" ht="18" x14ac:dyDescent="0.25">
      <c r="A53" s="53">
        <v>47</v>
      </c>
      <c r="B53" s="281" t="s">
        <v>252</v>
      </c>
      <c r="C53" s="328">
        <v>3.3902369999999994E-2</v>
      </c>
      <c r="D53" s="329">
        <v>0.31945119000000005</v>
      </c>
      <c r="E53" s="324">
        <f t="shared" si="3"/>
        <v>4.4591176716917932E-4</v>
      </c>
      <c r="F53" s="541">
        <f t="shared" si="2"/>
        <v>9.4226801843057029</v>
      </c>
    </row>
    <row r="54" spans="1:6" s="17" customFormat="1" ht="18" x14ac:dyDescent="0.25">
      <c r="A54" s="53">
        <v>48</v>
      </c>
      <c r="B54" s="281" t="s">
        <v>253</v>
      </c>
      <c r="C54" s="328">
        <v>0</v>
      </c>
      <c r="D54" s="329">
        <v>0.31371791000000004</v>
      </c>
      <c r="E54" s="324">
        <f t="shared" si="3"/>
        <v>4.3790886376326082E-4</v>
      </c>
      <c r="F54" s="541" t="str">
        <f t="shared" si="2"/>
        <v>-</v>
      </c>
    </row>
    <row r="55" spans="1:6" s="17" customFormat="1" ht="18" x14ac:dyDescent="0.25">
      <c r="A55" s="53">
        <v>49</v>
      </c>
      <c r="B55" s="281" t="s">
        <v>212</v>
      </c>
      <c r="C55" s="328">
        <v>0.23629842600000001</v>
      </c>
      <c r="D55" s="329">
        <v>0.29557672000000001</v>
      </c>
      <c r="E55" s="324">
        <f t="shared" si="3"/>
        <v>4.1258615298715804E-4</v>
      </c>
      <c r="F55" s="541">
        <f t="shared" si="2"/>
        <v>1.250861992622837</v>
      </c>
    </row>
    <row r="56" spans="1:6" s="17" customFormat="1" ht="18" x14ac:dyDescent="0.25">
      <c r="A56" s="53">
        <v>50</v>
      </c>
      <c r="B56" s="281" t="s">
        <v>193</v>
      </c>
      <c r="C56" s="328">
        <v>0.60186163000000004</v>
      </c>
      <c r="D56" s="329">
        <v>0.28135132000000002</v>
      </c>
      <c r="E56" s="324">
        <f t="shared" si="3"/>
        <v>3.9272936906756007E-4</v>
      </c>
      <c r="F56" s="541">
        <f t="shared" si="2"/>
        <v>0.46746844453267439</v>
      </c>
    </row>
    <row r="57" spans="1:6" s="17" customFormat="1" ht="18" x14ac:dyDescent="0.25">
      <c r="A57" s="53">
        <v>51</v>
      </c>
      <c r="B57" s="281" t="s">
        <v>190</v>
      </c>
      <c r="C57" s="328">
        <v>0.13271339999999998</v>
      </c>
      <c r="D57" s="329">
        <v>0.26553940000000004</v>
      </c>
      <c r="E57" s="324">
        <f t="shared" si="3"/>
        <v>3.7065801228364047E-4</v>
      </c>
      <c r="F57" s="541">
        <f t="shared" si="2"/>
        <v>2.000848444844304</v>
      </c>
    </row>
    <row r="58" spans="1:6" s="17" customFormat="1" ht="18" x14ac:dyDescent="0.25">
      <c r="A58" s="53">
        <v>52</v>
      </c>
      <c r="B58" s="281" t="s">
        <v>235</v>
      </c>
      <c r="C58" s="328">
        <v>3.7912020000000005E-2</v>
      </c>
      <c r="D58" s="329">
        <v>0.25491947999999998</v>
      </c>
      <c r="E58" s="324">
        <f t="shared" si="3"/>
        <v>3.5583400335008374E-4</v>
      </c>
      <c r="F58" s="541">
        <f t="shared" si="2"/>
        <v>6.7239751403380756</v>
      </c>
    </row>
    <row r="59" spans="1:6" s="17" customFormat="1" ht="18" x14ac:dyDescent="0.25">
      <c r="A59" s="53">
        <v>53</v>
      </c>
      <c r="B59" s="281" t="s">
        <v>251</v>
      </c>
      <c r="C59" s="328">
        <v>1.5839999999999999E-3</v>
      </c>
      <c r="D59" s="329">
        <v>0.19305320000000001</v>
      </c>
      <c r="E59" s="324">
        <f t="shared" si="3"/>
        <v>2.6947682858738137E-4</v>
      </c>
      <c r="F59" s="541">
        <f t="shared" si="2"/>
        <v>121.87702020202022</v>
      </c>
    </row>
    <row r="60" spans="1:6" s="17" customFormat="1" ht="18" x14ac:dyDescent="0.25">
      <c r="A60" s="53">
        <v>54</v>
      </c>
      <c r="B60" s="281" t="s">
        <v>227</v>
      </c>
      <c r="C60" s="328">
        <v>0.48319221999999995</v>
      </c>
      <c r="D60" s="329">
        <v>0.17073070000000001</v>
      </c>
      <c r="E60" s="324">
        <f t="shared" si="3"/>
        <v>2.3831756002233391E-4</v>
      </c>
      <c r="F60" s="541">
        <f t="shared" si="2"/>
        <v>0.35333909142825193</v>
      </c>
    </row>
    <row r="61" spans="1:6" s="17" customFormat="1" ht="18" x14ac:dyDescent="0.25">
      <c r="A61" s="53">
        <v>55</v>
      </c>
      <c r="B61" s="281" t="s">
        <v>173</v>
      </c>
      <c r="C61" s="328">
        <v>0.15859000000000001</v>
      </c>
      <c r="D61" s="329">
        <v>0.14724503</v>
      </c>
      <c r="E61" s="324">
        <f t="shared" si="3"/>
        <v>2.0553465940815186E-4</v>
      </c>
      <c r="F61" s="541">
        <f t="shared" si="2"/>
        <v>0.92846352229018214</v>
      </c>
    </row>
    <row r="62" spans="1:6" s="17" customFormat="1" ht="18" x14ac:dyDescent="0.25">
      <c r="A62" s="53">
        <v>56</v>
      </c>
      <c r="B62" s="281" t="s">
        <v>213</v>
      </c>
      <c r="C62" s="328">
        <v>6.0070999999999999E-2</v>
      </c>
      <c r="D62" s="329">
        <v>0.14443914999999999</v>
      </c>
      <c r="E62" s="324">
        <f t="shared" si="3"/>
        <v>2.016180206588498E-4</v>
      </c>
      <c r="F62" s="541">
        <f t="shared" si="2"/>
        <v>2.4044738725841088</v>
      </c>
    </row>
    <row r="63" spans="1:6" s="17" customFormat="1" ht="18" x14ac:dyDescent="0.25">
      <c r="A63" s="53">
        <v>57</v>
      </c>
      <c r="B63" s="281" t="s">
        <v>229</v>
      </c>
      <c r="C63" s="328">
        <v>4.2369999999999998E-2</v>
      </c>
      <c r="D63" s="329">
        <v>0.13547145999999999</v>
      </c>
      <c r="E63" s="324">
        <f t="shared" si="3"/>
        <v>1.891003070910106E-4</v>
      </c>
      <c r="F63" s="541">
        <f t="shared" si="2"/>
        <v>3.1973438753835262</v>
      </c>
    </row>
    <row r="64" spans="1:6" s="17" customFormat="1" ht="18" x14ac:dyDescent="0.25">
      <c r="A64" s="53">
        <v>58</v>
      </c>
      <c r="B64" s="281" t="s">
        <v>214</v>
      </c>
      <c r="C64" s="328">
        <v>4.0000000000000001E-3</v>
      </c>
      <c r="D64" s="329">
        <v>0.13198326999999999</v>
      </c>
      <c r="E64" s="324">
        <f t="shared" si="3"/>
        <v>1.8423125348967056E-4</v>
      </c>
      <c r="F64" s="541">
        <f t="shared" si="2"/>
        <v>32.995817499999994</v>
      </c>
    </row>
    <row r="65" spans="1:6" s="17" customFormat="1" ht="18" x14ac:dyDescent="0.25">
      <c r="A65" s="53">
        <v>59</v>
      </c>
      <c r="B65" s="281" t="s">
        <v>254</v>
      </c>
      <c r="C65" s="328">
        <v>0</v>
      </c>
      <c r="D65" s="329">
        <v>0.108238</v>
      </c>
      <c r="E65" s="324">
        <f t="shared" si="3"/>
        <v>1.5108598548297042E-4</v>
      </c>
      <c r="F65" s="541" t="str">
        <f t="shared" si="2"/>
        <v>-</v>
      </c>
    </row>
    <row r="66" spans="1:6" s="17" customFormat="1" ht="18" x14ac:dyDescent="0.25">
      <c r="A66" s="53">
        <v>60</v>
      </c>
      <c r="B66" s="281" t="s">
        <v>231</v>
      </c>
      <c r="C66" s="328">
        <v>0.12854111000000001</v>
      </c>
      <c r="D66" s="329">
        <v>0.10766136999999999</v>
      </c>
      <c r="E66" s="324">
        <f t="shared" si="3"/>
        <v>1.5028108598548297E-4</v>
      </c>
      <c r="F66" s="541">
        <f t="shared" si="2"/>
        <v>0.83756371794206519</v>
      </c>
    </row>
    <row r="67" spans="1:6" s="17" customFormat="1" ht="18" x14ac:dyDescent="0.25">
      <c r="A67" s="53">
        <v>61</v>
      </c>
      <c r="B67" s="281" t="s">
        <v>255</v>
      </c>
      <c r="C67" s="328">
        <v>0</v>
      </c>
      <c r="D67" s="329">
        <v>9.9182329999999999E-2</v>
      </c>
      <c r="E67" s="324">
        <f t="shared" si="3"/>
        <v>1.3844546342825238E-4</v>
      </c>
      <c r="F67" s="541" t="str">
        <f t="shared" si="2"/>
        <v>-</v>
      </c>
    </row>
    <row r="68" spans="1:6" s="17" customFormat="1" ht="18" x14ac:dyDescent="0.25">
      <c r="A68" s="53">
        <v>62</v>
      </c>
      <c r="B68" s="281" t="s">
        <v>240</v>
      </c>
      <c r="C68" s="328">
        <v>0.10122895999999999</v>
      </c>
      <c r="D68" s="329">
        <v>9.6778259999999991E-2</v>
      </c>
      <c r="E68" s="324">
        <f t="shared" si="3"/>
        <v>1.350896984924623E-4</v>
      </c>
      <c r="F68" s="541">
        <f t="shared" si="2"/>
        <v>0.95603333275378899</v>
      </c>
    </row>
    <row r="69" spans="1:6" s="17" customFormat="1" ht="18" x14ac:dyDescent="0.25">
      <c r="A69" s="53">
        <v>63</v>
      </c>
      <c r="B69" s="281" t="s">
        <v>256</v>
      </c>
      <c r="C69" s="328">
        <v>0</v>
      </c>
      <c r="D69" s="329">
        <v>8.8239999999999999E-2</v>
      </c>
      <c r="E69" s="324">
        <f t="shared" si="3"/>
        <v>1.2317141261864879E-4</v>
      </c>
      <c r="F69" s="541" t="str">
        <f t="shared" si="2"/>
        <v>-</v>
      </c>
    </row>
    <row r="70" spans="1:6" s="17" customFormat="1" ht="18" x14ac:dyDescent="0.25">
      <c r="A70" s="53">
        <v>64</v>
      </c>
      <c r="B70" s="281" t="s">
        <v>257</v>
      </c>
      <c r="C70" s="328">
        <v>0</v>
      </c>
      <c r="D70" s="329">
        <v>8.4928179999999992E-2</v>
      </c>
      <c r="E70" s="324">
        <f t="shared" si="3"/>
        <v>1.1854854829704075E-4</v>
      </c>
      <c r="F70" s="541" t="str">
        <f t="shared" si="2"/>
        <v>-</v>
      </c>
    </row>
    <row r="71" spans="1:6" s="17" customFormat="1" ht="18" x14ac:dyDescent="0.25">
      <c r="A71" s="53">
        <v>65</v>
      </c>
      <c r="B71" s="281" t="s">
        <v>258</v>
      </c>
      <c r="C71" s="328">
        <v>0</v>
      </c>
      <c r="D71" s="329">
        <v>8.3918999999999994E-2</v>
      </c>
      <c r="E71" s="324">
        <f t="shared" ref="E71:E102" si="4">D71/$D$6</f>
        <v>1.1713986599664991E-4</v>
      </c>
      <c r="F71" s="541" t="str">
        <f t="shared" si="2"/>
        <v>-</v>
      </c>
    </row>
    <row r="72" spans="1:6" s="17" customFormat="1" ht="18" x14ac:dyDescent="0.25">
      <c r="A72" s="53">
        <v>66</v>
      </c>
      <c r="B72" s="281" t="s">
        <v>259</v>
      </c>
      <c r="C72" s="328">
        <v>0</v>
      </c>
      <c r="D72" s="329">
        <v>7.6975000000000002E-2</v>
      </c>
      <c r="E72" s="324">
        <f t="shared" si="4"/>
        <v>1.0744695700725852E-4</v>
      </c>
      <c r="F72" s="541" t="str">
        <f t="shared" ref="F72:F110" si="5">IFERROR(D72/C72, "-")</f>
        <v>-</v>
      </c>
    </row>
    <row r="73" spans="1:6" s="17" customFormat="1" ht="18" x14ac:dyDescent="0.25">
      <c r="A73" s="53">
        <v>67</v>
      </c>
      <c r="B73" s="281" t="s">
        <v>244</v>
      </c>
      <c r="C73" s="328">
        <v>1.3331300000000001E-3</v>
      </c>
      <c r="D73" s="329">
        <v>7.1871290000000004E-2</v>
      </c>
      <c r="E73" s="324">
        <f t="shared" si="4"/>
        <v>1.0032285036292575E-4</v>
      </c>
      <c r="F73" s="541">
        <f t="shared" si="5"/>
        <v>53.91168903257747</v>
      </c>
    </row>
    <row r="74" spans="1:6" s="17" customFormat="1" ht="18" x14ac:dyDescent="0.25">
      <c r="A74" s="53">
        <v>68</v>
      </c>
      <c r="B74" s="281" t="s">
        <v>185</v>
      </c>
      <c r="C74" s="328">
        <v>3.5987999999999999E-2</v>
      </c>
      <c r="D74" s="329">
        <v>5.9217569999999997E-2</v>
      </c>
      <c r="E74" s="324">
        <f t="shared" si="4"/>
        <v>8.2659924623115576E-5</v>
      </c>
      <c r="F74" s="541">
        <f t="shared" si="5"/>
        <v>1.6454809936645549</v>
      </c>
    </row>
    <row r="75" spans="1:6" s="17" customFormat="1" ht="18" x14ac:dyDescent="0.25">
      <c r="A75" s="53">
        <v>69</v>
      </c>
      <c r="B75" s="281" t="s">
        <v>196</v>
      </c>
      <c r="C75" s="328">
        <v>1.4135669999999999E-2</v>
      </c>
      <c r="D75" s="329">
        <v>5.5635110000000002E-2</v>
      </c>
      <c r="E75" s="324">
        <f t="shared" si="4"/>
        <v>7.7659282523729763E-5</v>
      </c>
      <c r="F75" s="541">
        <f t="shared" si="5"/>
        <v>3.9357957564091413</v>
      </c>
    </row>
    <row r="76" spans="1:6" s="17" customFormat="1" ht="18" x14ac:dyDescent="0.25">
      <c r="A76" s="53">
        <v>70</v>
      </c>
      <c r="B76" s="281" t="s">
        <v>222</v>
      </c>
      <c r="C76" s="328">
        <v>5.8319999999999997E-2</v>
      </c>
      <c r="D76" s="329">
        <v>5.1944040000000004E-2</v>
      </c>
      <c r="E76" s="324">
        <f t="shared" si="4"/>
        <v>7.250703517587941E-5</v>
      </c>
      <c r="F76" s="541">
        <f t="shared" si="5"/>
        <v>0.89067283950617293</v>
      </c>
    </row>
    <row r="77" spans="1:6" s="17" customFormat="1" ht="18" x14ac:dyDescent="0.25">
      <c r="A77" s="53">
        <v>71</v>
      </c>
      <c r="B77" s="281" t="s">
        <v>191</v>
      </c>
      <c r="C77" s="328">
        <v>6.3500000000000001E-2</v>
      </c>
      <c r="D77" s="329">
        <v>5.1544609999999998E-2</v>
      </c>
      <c r="E77" s="324">
        <f t="shared" si="4"/>
        <v>7.1949483528754889E-5</v>
      </c>
      <c r="F77" s="541">
        <f t="shared" si="5"/>
        <v>0.81172614173228341</v>
      </c>
    </row>
    <row r="78" spans="1:6" s="17" customFormat="1" ht="18" x14ac:dyDescent="0.25">
      <c r="A78" s="53">
        <v>72</v>
      </c>
      <c r="B78" s="281" t="s">
        <v>260</v>
      </c>
      <c r="C78" s="328">
        <v>0</v>
      </c>
      <c r="D78" s="329">
        <v>4.9814580000000004E-2</v>
      </c>
      <c r="E78" s="324">
        <f t="shared" si="4"/>
        <v>6.9534589614740375E-5</v>
      </c>
      <c r="F78" s="541" t="str">
        <f t="shared" si="5"/>
        <v>-</v>
      </c>
    </row>
    <row r="79" spans="1:6" s="17" customFormat="1" ht="18" x14ac:dyDescent="0.25">
      <c r="A79" s="53">
        <v>73</v>
      </c>
      <c r="B79" s="281" t="s">
        <v>210</v>
      </c>
      <c r="C79" s="328">
        <v>4.4924858999999998E-2</v>
      </c>
      <c r="D79" s="329">
        <v>3.46314E-2</v>
      </c>
      <c r="E79" s="324">
        <f t="shared" si="4"/>
        <v>4.8340871021775547E-5</v>
      </c>
      <c r="F79" s="541">
        <f t="shared" si="5"/>
        <v>0.77087387185789502</v>
      </c>
    </row>
    <row r="80" spans="1:6" s="17" customFormat="1" ht="18" x14ac:dyDescent="0.25">
      <c r="A80" s="53">
        <v>74</v>
      </c>
      <c r="B80" s="281" t="s">
        <v>177</v>
      </c>
      <c r="C80" s="328">
        <v>8.0000000000000004E-4</v>
      </c>
      <c r="D80" s="329">
        <v>3.4000000000000002E-2</v>
      </c>
      <c r="E80" s="324">
        <f t="shared" si="4"/>
        <v>4.7459519821328872E-5</v>
      </c>
      <c r="F80" s="541">
        <f t="shared" si="5"/>
        <v>42.5</v>
      </c>
    </row>
    <row r="81" spans="1:6" s="17" customFormat="1" ht="18" x14ac:dyDescent="0.25">
      <c r="A81" s="53">
        <v>75</v>
      </c>
      <c r="B81" s="281" t="s">
        <v>261</v>
      </c>
      <c r="C81" s="328">
        <v>0</v>
      </c>
      <c r="D81" s="329">
        <v>0.03</v>
      </c>
      <c r="E81" s="324">
        <f t="shared" si="4"/>
        <v>4.1876046901172531E-5</v>
      </c>
      <c r="F81" s="541" t="str">
        <f t="shared" si="5"/>
        <v>-</v>
      </c>
    </row>
    <row r="82" spans="1:6" s="17" customFormat="1" ht="18" x14ac:dyDescent="0.25">
      <c r="A82" s="53">
        <v>76</v>
      </c>
      <c r="B82" s="281" t="s">
        <v>262</v>
      </c>
      <c r="C82" s="328">
        <v>0</v>
      </c>
      <c r="D82" s="329">
        <v>2.9669999999999998E-2</v>
      </c>
      <c r="E82" s="324">
        <f t="shared" si="4"/>
        <v>4.1415410385259631E-5</v>
      </c>
      <c r="F82" s="541" t="str">
        <f t="shared" si="5"/>
        <v>-</v>
      </c>
    </row>
    <row r="83" spans="1:6" s="17" customFormat="1" ht="18" x14ac:dyDescent="0.25">
      <c r="A83" s="53">
        <v>77</v>
      </c>
      <c r="B83" s="281" t="s">
        <v>263</v>
      </c>
      <c r="C83" s="328">
        <v>0</v>
      </c>
      <c r="D83" s="329">
        <v>2.6381000000000002E-2</v>
      </c>
      <c r="E83" s="324">
        <f t="shared" si="4"/>
        <v>3.6824399776661087E-5</v>
      </c>
      <c r="F83" s="541" t="str">
        <f t="shared" si="5"/>
        <v>-</v>
      </c>
    </row>
    <row r="84" spans="1:6" s="17" customFormat="1" ht="18" x14ac:dyDescent="0.25">
      <c r="A84" s="53">
        <v>78</v>
      </c>
      <c r="B84" s="281" t="s">
        <v>264</v>
      </c>
      <c r="C84" s="328">
        <v>0</v>
      </c>
      <c r="D84" s="329">
        <v>2.5671529999999998E-2</v>
      </c>
      <c r="E84" s="324">
        <f t="shared" si="4"/>
        <v>3.5834073143495251E-5</v>
      </c>
      <c r="F84" s="541" t="str">
        <f t="shared" si="5"/>
        <v>-</v>
      </c>
    </row>
    <row r="85" spans="1:6" s="17" customFormat="1" ht="18" x14ac:dyDescent="0.25">
      <c r="A85" s="53">
        <v>79</v>
      </c>
      <c r="B85" s="281" t="s">
        <v>198</v>
      </c>
      <c r="C85" s="328">
        <v>5.1200000000000002E-2</v>
      </c>
      <c r="D85" s="329">
        <v>2.5604999999999999E-2</v>
      </c>
      <c r="E85" s="324">
        <f t="shared" si="4"/>
        <v>3.5741206030150753E-5</v>
      </c>
      <c r="F85" s="541">
        <f t="shared" si="5"/>
        <v>0.50009765624999991</v>
      </c>
    </row>
    <row r="86" spans="1:6" s="17" customFormat="1" ht="18" x14ac:dyDescent="0.25">
      <c r="A86" s="53">
        <v>80</v>
      </c>
      <c r="B86" s="281" t="s">
        <v>236</v>
      </c>
      <c r="C86" s="328">
        <v>0.11259269000000001</v>
      </c>
      <c r="D86" s="329">
        <v>2.5540919999999998E-2</v>
      </c>
      <c r="E86" s="324">
        <f t="shared" si="4"/>
        <v>3.5651758793969845E-5</v>
      </c>
      <c r="F86" s="541">
        <f t="shared" si="5"/>
        <v>0.22684350111894472</v>
      </c>
    </row>
    <row r="87" spans="1:6" s="17" customFormat="1" ht="18" x14ac:dyDescent="0.25">
      <c r="A87" s="53">
        <v>81</v>
      </c>
      <c r="B87" s="281" t="s">
        <v>237</v>
      </c>
      <c r="C87" s="328">
        <v>9.1200000000000005E-4</v>
      </c>
      <c r="D87" s="329">
        <v>1.5734999999999999E-2</v>
      </c>
      <c r="E87" s="324">
        <f t="shared" si="4"/>
        <v>2.1963986599664991E-5</v>
      </c>
      <c r="F87" s="541">
        <f t="shared" si="5"/>
        <v>17.253289473684209</v>
      </c>
    </row>
    <row r="88" spans="1:6" s="17" customFormat="1" ht="18" x14ac:dyDescent="0.25">
      <c r="A88" s="53">
        <v>82</v>
      </c>
      <c r="B88" s="281" t="s">
        <v>265</v>
      </c>
      <c r="C88" s="328">
        <v>0</v>
      </c>
      <c r="D88" s="329">
        <v>1.5730000000000001E-2</v>
      </c>
      <c r="E88" s="324">
        <f t="shared" si="4"/>
        <v>2.1957007258514797E-5</v>
      </c>
      <c r="F88" s="541" t="str">
        <f>IFERROR(D88/C88, "-")</f>
        <v>-</v>
      </c>
    </row>
    <row r="89" spans="1:6" s="17" customFormat="1" ht="18" x14ac:dyDescent="0.25">
      <c r="A89" s="53">
        <v>83</v>
      </c>
      <c r="B89" s="281" t="s">
        <v>232</v>
      </c>
      <c r="C89" s="328">
        <v>1.0156943</v>
      </c>
      <c r="D89" s="329">
        <v>1.3927459999999999E-2</v>
      </c>
      <c r="E89" s="324">
        <f t="shared" si="4"/>
        <v>1.9440898939140143E-5</v>
      </c>
      <c r="F89" s="541">
        <f t="shared" si="5"/>
        <v>1.3712255744666479E-2</v>
      </c>
    </row>
    <row r="90" spans="1:6" s="17" customFormat="1" ht="18" x14ac:dyDescent="0.25">
      <c r="A90" s="53">
        <v>84</v>
      </c>
      <c r="B90" s="281" t="s">
        <v>266</v>
      </c>
      <c r="C90" s="328">
        <v>0</v>
      </c>
      <c r="D90" s="329">
        <v>1.3842E-2</v>
      </c>
      <c r="E90" s="324">
        <f t="shared" si="4"/>
        <v>1.9321608040201007E-5</v>
      </c>
      <c r="F90" s="541" t="str">
        <f t="shared" si="5"/>
        <v>-</v>
      </c>
    </row>
    <row r="91" spans="1:6" s="17" customFormat="1" ht="18" x14ac:dyDescent="0.25">
      <c r="A91" s="53">
        <v>85</v>
      </c>
      <c r="B91" s="281" t="s">
        <v>176</v>
      </c>
      <c r="C91" s="328">
        <v>8.4000000000000003E-4</v>
      </c>
      <c r="D91" s="329">
        <v>1.2676E-2</v>
      </c>
      <c r="E91" s="324">
        <f t="shared" si="4"/>
        <v>1.7694025683975434E-5</v>
      </c>
      <c r="F91" s="541">
        <f t="shared" si="5"/>
        <v>15.09047619047619</v>
      </c>
    </row>
    <row r="92" spans="1:6" s="17" customFormat="1" ht="18" x14ac:dyDescent="0.25">
      <c r="A92" s="53">
        <v>86</v>
      </c>
      <c r="B92" s="281" t="s">
        <v>249</v>
      </c>
      <c r="C92" s="328">
        <v>5.9088300000000003E-3</v>
      </c>
      <c r="D92" s="329">
        <v>1.180201E-2</v>
      </c>
      <c r="E92" s="324">
        <f t="shared" si="4"/>
        <v>1.6474050809603573E-5</v>
      </c>
      <c r="F92" s="541">
        <f t="shared" si="5"/>
        <v>1.9973514215166115</v>
      </c>
    </row>
    <row r="93" spans="1:6" s="17" customFormat="1" ht="18" x14ac:dyDescent="0.25">
      <c r="A93" s="53">
        <v>87</v>
      </c>
      <c r="B93" s="281" t="s">
        <v>267</v>
      </c>
      <c r="C93" s="328">
        <v>0</v>
      </c>
      <c r="D93" s="329">
        <v>8.0000000000000002E-3</v>
      </c>
      <c r="E93" s="324">
        <f t="shared" si="4"/>
        <v>1.1166945840312675E-5</v>
      </c>
      <c r="F93" s="541" t="str">
        <f t="shared" si="5"/>
        <v>-</v>
      </c>
    </row>
    <row r="94" spans="1:6" s="17" customFormat="1" ht="18" x14ac:dyDescent="0.25">
      <c r="A94" s="53">
        <v>88</v>
      </c>
      <c r="B94" s="281" t="s">
        <v>245</v>
      </c>
      <c r="C94" s="328">
        <v>5.9412E-2</v>
      </c>
      <c r="D94" s="329">
        <v>4.2075799999999998E-3</v>
      </c>
      <c r="E94" s="324">
        <f t="shared" si="4"/>
        <v>5.8732272473478504E-6</v>
      </c>
      <c r="F94" s="541">
        <f t="shared" si="5"/>
        <v>7.082037298862183E-2</v>
      </c>
    </row>
    <row r="95" spans="1:6" s="17" customFormat="1" ht="18" x14ac:dyDescent="0.25">
      <c r="A95" s="53">
        <v>89</v>
      </c>
      <c r="B95" s="281" t="s">
        <v>181</v>
      </c>
      <c r="C95" s="328">
        <v>1.0999999999999999E-2</v>
      </c>
      <c r="D95" s="329">
        <v>3.8E-3</v>
      </c>
      <c r="E95" s="324">
        <f t="shared" si="4"/>
        <v>5.3042992741485203E-6</v>
      </c>
      <c r="F95" s="541">
        <f t="shared" si="5"/>
        <v>0.34545454545454546</v>
      </c>
    </row>
    <row r="96" spans="1:6" s="17" customFormat="1" ht="18" x14ac:dyDescent="0.25">
      <c r="A96" s="53">
        <v>90</v>
      </c>
      <c r="B96" s="281" t="s">
        <v>216</v>
      </c>
      <c r="C96" s="328">
        <v>3.088E-3</v>
      </c>
      <c r="D96" s="329">
        <v>3.0000000000000001E-3</v>
      </c>
      <c r="E96" s="324">
        <f t="shared" si="4"/>
        <v>4.1876046901172533E-6</v>
      </c>
      <c r="F96" s="541">
        <f t="shared" si="5"/>
        <v>0.97150259067357514</v>
      </c>
    </row>
    <row r="97" spans="1:6" s="17" customFormat="1" ht="18" x14ac:dyDescent="0.25">
      <c r="A97" s="53">
        <v>91</v>
      </c>
      <c r="B97" s="281" t="s">
        <v>211</v>
      </c>
      <c r="C97" s="328">
        <v>4.744E-3</v>
      </c>
      <c r="D97" s="329">
        <v>2.4749099999999999E-3</v>
      </c>
      <c r="E97" s="324">
        <f t="shared" si="4"/>
        <v>3.4546482412060301E-6</v>
      </c>
      <c r="F97" s="541">
        <f t="shared" si="5"/>
        <v>0.52169266441821249</v>
      </c>
    </row>
    <row r="98" spans="1:6" s="17" customFormat="1" ht="18" x14ac:dyDescent="0.25">
      <c r="A98" s="53">
        <v>92</v>
      </c>
      <c r="B98" s="281" t="s">
        <v>183</v>
      </c>
      <c r="C98" s="328">
        <v>8.4999999999999995E-4</v>
      </c>
      <c r="D98" s="329">
        <v>9.6000000000000002E-4</v>
      </c>
      <c r="E98" s="324">
        <f t="shared" si="4"/>
        <v>1.340033500837521E-6</v>
      </c>
      <c r="F98" s="541">
        <f t="shared" si="5"/>
        <v>1.1294117647058823</v>
      </c>
    </row>
    <row r="99" spans="1:6" s="17" customFormat="1" ht="18" x14ac:dyDescent="0.25">
      <c r="A99" s="53">
        <v>93</v>
      </c>
      <c r="B99" s="281" t="s">
        <v>268</v>
      </c>
      <c r="C99" s="328">
        <v>0</v>
      </c>
      <c r="D99" s="329">
        <v>2.9999999999999997E-4</v>
      </c>
      <c r="E99" s="324">
        <f t="shared" si="4"/>
        <v>4.1876046901172525E-7</v>
      </c>
      <c r="F99" s="541" t="str">
        <f t="shared" si="5"/>
        <v>-</v>
      </c>
    </row>
    <row r="100" spans="1:6" s="17" customFormat="1" ht="18" x14ac:dyDescent="0.25">
      <c r="A100" s="53">
        <v>94</v>
      </c>
      <c r="B100" s="281" t="s">
        <v>269</v>
      </c>
      <c r="C100" s="328">
        <v>0</v>
      </c>
      <c r="D100" s="329">
        <v>2.0558000000000002E-4</v>
      </c>
      <c r="E100" s="324">
        <f t="shared" si="4"/>
        <v>2.8696259073143497E-7</v>
      </c>
      <c r="F100" s="541" t="str">
        <f t="shared" si="5"/>
        <v>-</v>
      </c>
    </row>
    <row r="101" spans="1:6" s="17" customFormat="1" ht="18" x14ac:dyDescent="0.25">
      <c r="A101" s="53">
        <v>95</v>
      </c>
      <c r="B101" s="281" t="s">
        <v>169</v>
      </c>
      <c r="C101" s="328">
        <v>0.8366343100000001</v>
      </c>
      <c r="D101" s="329">
        <v>0</v>
      </c>
      <c r="E101" s="324">
        <f t="shared" si="4"/>
        <v>0</v>
      </c>
      <c r="F101" s="541">
        <f t="shared" si="5"/>
        <v>0</v>
      </c>
    </row>
    <row r="102" spans="1:6" s="17" customFormat="1" ht="18" x14ac:dyDescent="0.25">
      <c r="A102" s="53">
        <v>96</v>
      </c>
      <c r="B102" s="281" t="s">
        <v>170</v>
      </c>
      <c r="C102" s="328">
        <v>3.2156999999999998E-2</v>
      </c>
      <c r="D102" s="329">
        <v>0</v>
      </c>
      <c r="E102" s="324">
        <f t="shared" si="4"/>
        <v>0</v>
      </c>
      <c r="F102" s="541">
        <f t="shared" si="5"/>
        <v>0</v>
      </c>
    </row>
    <row r="103" spans="1:6" s="17" customFormat="1" ht="18" x14ac:dyDescent="0.25">
      <c r="A103" s="53">
        <v>97</v>
      </c>
      <c r="B103" s="281" t="s">
        <v>175</v>
      </c>
      <c r="C103" s="330">
        <v>8.3000000000000001E-3</v>
      </c>
      <c r="D103" s="329">
        <v>0</v>
      </c>
      <c r="E103" s="324">
        <f t="shared" ref="E103:E110" si="6">D103/$D$6</f>
        <v>0</v>
      </c>
      <c r="F103" s="541">
        <f t="shared" si="5"/>
        <v>0</v>
      </c>
    </row>
    <row r="104" spans="1:6" s="17" customFormat="1" ht="18" x14ac:dyDescent="0.25">
      <c r="A104" s="53">
        <v>98</v>
      </c>
      <c r="B104" s="281" t="s">
        <v>187</v>
      </c>
      <c r="C104" s="328">
        <v>1</v>
      </c>
      <c r="D104" s="329">
        <v>0</v>
      </c>
      <c r="E104" s="324">
        <f t="shared" si="6"/>
        <v>0</v>
      </c>
      <c r="F104" s="541">
        <f t="shared" si="5"/>
        <v>0</v>
      </c>
    </row>
    <row r="105" spans="1:6" s="17" customFormat="1" ht="18" x14ac:dyDescent="0.25">
      <c r="A105" s="53">
        <v>99</v>
      </c>
      <c r="B105" s="281" t="s">
        <v>199</v>
      </c>
      <c r="C105" s="328">
        <v>1.305E-3</v>
      </c>
      <c r="D105" s="329">
        <v>0</v>
      </c>
      <c r="E105" s="324">
        <f t="shared" si="6"/>
        <v>0</v>
      </c>
      <c r="F105" s="541">
        <f t="shared" si="5"/>
        <v>0</v>
      </c>
    </row>
    <row r="106" spans="1:6" s="17" customFormat="1" ht="18" x14ac:dyDescent="0.25">
      <c r="A106" s="53">
        <v>100</v>
      </c>
      <c r="B106" s="281" t="s">
        <v>203</v>
      </c>
      <c r="C106" s="328">
        <v>1.996769E-2</v>
      </c>
      <c r="D106" s="329">
        <v>0</v>
      </c>
      <c r="E106" s="324">
        <f t="shared" si="6"/>
        <v>0</v>
      </c>
      <c r="F106" s="541">
        <f t="shared" si="5"/>
        <v>0</v>
      </c>
    </row>
    <row r="107" spans="1:6" s="17" customFormat="1" ht="18" x14ac:dyDescent="0.25">
      <c r="A107" s="53">
        <v>101</v>
      </c>
      <c r="B107" s="281" t="s">
        <v>215</v>
      </c>
      <c r="C107" s="328">
        <v>3.2850000000000002E-3</v>
      </c>
      <c r="D107" s="329">
        <v>0</v>
      </c>
      <c r="E107" s="324">
        <f t="shared" si="6"/>
        <v>0</v>
      </c>
      <c r="F107" s="541">
        <f t="shared" si="5"/>
        <v>0</v>
      </c>
    </row>
    <row r="108" spans="1:6" s="17" customFormat="1" ht="18" x14ac:dyDescent="0.25">
      <c r="A108" s="53">
        <v>102</v>
      </c>
      <c r="B108" s="281" t="s">
        <v>224</v>
      </c>
      <c r="C108" s="328">
        <v>2.8535999999999999E-2</v>
      </c>
      <c r="D108" s="329">
        <v>0</v>
      </c>
      <c r="E108" s="324">
        <f t="shared" si="6"/>
        <v>0</v>
      </c>
      <c r="F108" s="541">
        <f t="shared" si="5"/>
        <v>0</v>
      </c>
    </row>
    <row r="109" spans="1:6" s="17" customFormat="1" ht="18" x14ac:dyDescent="0.25">
      <c r="A109" s="53">
        <v>103</v>
      </c>
      <c r="B109" s="281" t="s">
        <v>228</v>
      </c>
      <c r="C109" s="328">
        <v>2.1320000000000002E-3</v>
      </c>
      <c r="D109" s="329">
        <v>0</v>
      </c>
      <c r="E109" s="324">
        <f t="shared" si="6"/>
        <v>0</v>
      </c>
      <c r="F109" s="541">
        <f t="shared" si="5"/>
        <v>0</v>
      </c>
    </row>
    <row r="110" spans="1:6" s="17" customFormat="1" ht="18" x14ac:dyDescent="0.25">
      <c r="A110" s="53">
        <v>104</v>
      </c>
      <c r="B110" s="281" t="s">
        <v>239</v>
      </c>
      <c r="C110" s="328">
        <v>6.7999999999999996E-3</v>
      </c>
      <c r="D110" s="329">
        <v>0</v>
      </c>
      <c r="E110" s="324">
        <f t="shared" si="6"/>
        <v>0</v>
      </c>
      <c r="F110" s="541">
        <f t="shared" si="5"/>
        <v>0</v>
      </c>
    </row>
  </sheetData>
  <sortState ref="B7:F110">
    <sortCondition descending="1" ref="D7:D110"/>
  </sortState>
  <mergeCells count="1">
    <mergeCell ref="A2:F2"/>
  </mergeCells>
  <printOptions horizontalCentered="1"/>
  <pageMargins left="0.31496062992125984" right="0.31496062992125984" top="0.35433070866141736" bottom="0.35433070866141736" header="0.31496062992125984" footer="0.31496062992125984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theme="8"/>
  </sheetPr>
  <dimension ref="A1:F27"/>
  <sheetViews>
    <sheetView zoomScale="85" zoomScaleNormal="85" workbookViewId="0">
      <pane ySplit="5" topLeftCell="A6" activePane="bottomLeft" state="frozen"/>
      <selection activeCell="H7" sqref="H7"/>
      <selection pane="bottomLeft" activeCell="H8" sqref="H8"/>
    </sheetView>
  </sheetViews>
  <sheetFormatPr defaultRowHeight="14.25" x14ac:dyDescent="0.2"/>
  <cols>
    <col min="1" max="1" width="4" style="3" bestFit="1" customWidth="1"/>
    <col min="2" max="2" width="43.42578125" style="2" customWidth="1"/>
    <col min="3" max="3" width="12.28515625" style="187" customWidth="1"/>
    <col min="4" max="6" width="12.140625" style="187" customWidth="1"/>
    <col min="7" max="16384" width="9.140625" style="2"/>
  </cols>
  <sheetData>
    <row r="1" spans="1:6" ht="15" x14ac:dyDescent="0.2">
      <c r="F1" s="200" t="s">
        <v>270</v>
      </c>
    </row>
    <row r="3" spans="1:6" ht="22.5" customHeight="1" x14ac:dyDescent="0.2">
      <c r="A3" s="557" t="s">
        <v>509</v>
      </c>
      <c r="B3" s="553"/>
      <c r="C3" s="558"/>
      <c r="D3" s="558"/>
      <c r="E3" s="558"/>
      <c r="F3" s="558"/>
    </row>
    <row r="4" spans="1:6" ht="15.75" thickBot="1" x14ac:dyDescent="0.25">
      <c r="F4" s="201" t="s">
        <v>389</v>
      </c>
    </row>
    <row r="5" spans="1:6" s="302" customFormat="1" ht="40.5" customHeight="1" thickBot="1" x14ac:dyDescent="0.3">
      <c r="A5" s="299" t="s">
        <v>93</v>
      </c>
      <c r="B5" s="49" t="s">
        <v>153</v>
      </c>
      <c r="C5" s="300" t="str">
        <f>'2-жадвал'!C5</f>
        <v>2024-йил</v>
      </c>
      <c r="D5" s="300" t="str">
        <f>'2-жадвал'!D5</f>
        <v>2025-йил</v>
      </c>
      <c r="E5" s="301" t="s">
        <v>156</v>
      </c>
      <c r="F5" s="301" t="s">
        <v>375</v>
      </c>
    </row>
    <row r="6" spans="1:6" s="1" customFormat="1" ht="7.5" customHeight="1" x14ac:dyDescent="0.25">
      <c r="A6" s="10"/>
      <c r="B6" s="11"/>
      <c r="C6" s="202"/>
      <c r="D6" s="202"/>
      <c r="E6" s="202"/>
      <c r="F6" s="203"/>
    </row>
    <row r="7" spans="1:6" s="17" customFormat="1" ht="28.5" customHeight="1" x14ac:dyDescent="0.25">
      <c r="A7" s="36"/>
      <c r="B7" s="87" t="s">
        <v>271</v>
      </c>
      <c r="C7" s="276">
        <f>'2-жадвал'!C11</f>
        <v>466.4</v>
      </c>
      <c r="D7" s="276">
        <f>'2-жадвал'!D11</f>
        <v>716.4</v>
      </c>
      <c r="E7" s="204">
        <f>E8+E10+E12+E14+E16+E18+E20+E22+E24+E27</f>
        <v>0.24995593841429364</v>
      </c>
      <c r="F7" s="204">
        <f>D7/C7</f>
        <v>1.5360205831903946</v>
      </c>
    </row>
    <row r="8" spans="1:6" s="19" customFormat="1" ht="28.5" customHeight="1" x14ac:dyDescent="0.3">
      <c r="A8" s="13" t="s">
        <v>16</v>
      </c>
      <c r="B8" s="186" t="s">
        <v>437</v>
      </c>
      <c r="C8" s="212">
        <v>40.331401260000007</v>
      </c>
      <c r="D8" s="212">
        <v>50.604420809999979</v>
      </c>
      <c r="E8" s="205">
        <f>D8/$D$7</f>
        <v>7.0637103308207674E-2</v>
      </c>
      <c r="F8" s="205">
        <f>IFERROR(D8/C8, "-")</f>
        <v>1.2547151655796442</v>
      </c>
    </row>
    <row r="9" spans="1:6" s="19" customFormat="1" ht="28.5" customHeight="1" x14ac:dyDescent="0.3">
      <c r="A9" s="13"/>
      <c r="B9" s="499" t="s">
        <v>523</v>
      </c>
      <c r="C9" s="212"/>
      <c r="D9" s="212"/>
      <c r="E9" s="205"/>
      <c r="F9" s="205"/>
    </row>
    <row r="10" spans="1:6" s="19" customFormat="1" ht="28.5" customHeight="1" x14ac:dyDescent="0.3">
      <c r="A10" s="13" t="s">
        <v>6</v>
      </c>
      <c r="B10" s="186" t="s">
        <v>438</v>
      </c>
      <c r="C10" s="212">
        <v>7.2029650600000004</v>
      </c>
      <c r="D10" s="212">
        <v>27.970007310000003</v>
      </c>
      <c r="E10" s="205">
        <f t="shared" ref="E10:E24" si="0">D10/$D$7</f>
        <v>3.9042444597989959E-2</v>
      </c>
      <c r="F10" s="205">
        <f>IFERROR(D10/C10, "-")</f>
        <v>3.8831241130579635</v>
      </c>
    </row>
    <row r="11" spans="1:6" s="19" customFormat="1" ht="28.5" customHeight="1" x14ac:dyDescent="0.3">
      <c r="A11" s="13"/>
      <c r="B11" s="499" t="s">
        <v>523</v>
      </c>
      <c r="C11" s="212"/>
      <c r="D11" s="212"/>
      <c r="E11" s="205"/>
      <c r="F11" s="205"/>
    </row>
    <row r="12" spans="1:6" s="19" customFormat="1" ht="28.5" customHeight="1" x14ac:dyDescent="0.3">
      <c r="A12" s="13" t="s">
        <v>8</v>
      </c>
      <c r="B12" s="186" t="s">
        <v>439</v>
      </c>
      <c r="C12" s="212">
        <v>20.977129000000001</v>
      </c>
      <c r="D12" s="212">
        <v>22.227740000000001</v>
      </c>
      <c r="E12" s="205">
        <f t="shared" si="0"/>
        <v>3.1026996091568958E-2</v>
      </c>
      <c r="F12" s="205">
        <f>IFERROR(D12/C12, "-")</f>
        <v>1.0596178342613043</v>
      </c>
    </row>
    <row r="13" spans="1:6" s="19" customFormat="1" ht="28.5" customHeight="1" x14ac:dyDescent="0.3">
      <c r="A13" s="13"/>
      <c r="B13" s="499" t="s">
        <v>523</v>
      </c>
      <c r="C13" s="212"/>
      <c r="D13" s="212"/>
      <c r="E13" s="205"/>
      <c r="F13" s="205"/>
    </row>
    <row r="14" spans="1:6" s="19" customFormat="1" ht="28.5" customHeight="1" x14ac:dyDescent="0.3">
      <c r="A14" s="13" t="s">
        <v>14</v>
      </c>
      <c r="B14" s="186" t="s">
        <v>440</v>
      </c>
      <c r="C14" s="212">
        <v>23.24876167</v>
      </c>
      <c r="D14" s="212">
        <v>20.355433369999997</v>
      </c>
      <c r="E14" s="205">
        <f t="shared" si="0"/>
        <v>2.841350274986041E-2</v>
      </c>
      <c r="F14" s="205">
        <f>IFERROR(D14/C14, "-")</f>
        <v>0.87554914360305347</v>
      </c>
    </row>
    <row r="15" spans="1:6" s="19" customFormat="1" ht="28.5" customHeight="1" x14ac:dyDescent="0.3">
      <c r="A15" s="13"/>
      <c r="B15" s="499" t="s">
        <v>523</v>
      </c>
      <c r="C15" s="212"/>
      <c r="D15" s="212"/>
      <c r="E15" s="205"/>
      <c r="F15" s="205"/>
    </row>
    <row r="16" spans="1:6" s="17" customFormat="1" ht="28.5" customHeight="1" x14ac:dyDescent="0.25">
      <c r="A16" s="13" t="s">
        <v>2</v>
      </c>
      <c r="B16" s="186" t="s">
        <v>441</v>
      </c>
      <c r="C16" s="212">
        <v>0</v>
      </c>
      <c r="D16" s="212">
        <v>13</v>
      </c>
      <c r="E16" s="205">
        <f t="shared" si="0"/>
        <v>1.8146286990508097E-2</v>
      </c>
      <c r="F16" s="205" t="str">
        <f>IFERROR(D16/C16, "-")</f>
        <v>-</v>
      </c>
    </row>
    <row r="17" spans="1:6" s="17" customFormat="1" ht="28.5" customHeight="1" x14ac:dyDescent="0.25">
      <c r="A17" s="13"/>
      <c r="B17" s="499" t="s">
        <v>523</v>
      </c>
      <c r="C17" s="212"/>
      <c r="D17" s="212"/>
      <c r="E17" s="205"/>
      <c r="F17" s="205"/>
    </row>
    <row r="18" spans="1:6" s="17" customFormat="1" ht="28.5" customHeight="1" x14ac:dyDescent="0.25">
      <c r="A18" s="13" t="s">
        <v>17</v>
      </c>
      <c r="B18" s="186" t="s">
        <v>442</v>
      </c>
      <c r="C18" s="212">
        <v>2.27</v>
      </c>
      <c r="D18" s="212">
        <v>12.3935</v>
      </c>
      <c r="E18" s="205">
        <f t="shared" si="0"/>
        <v>1.7299692908989393E-2</v>
      </c>
      <c r="F18" s="205">
        <f>IFERROR(D18/C18, "-")</f>
        <v>5.4596916299559473</v>
      </c>
    </row>
    <row r="19" spans="1:6" s="17" customFormat="1" ht="28.5" customHeight="1" x14ac:dyDescent="0.25">
      <c r="A19" s="13"/>
      <c r="B19" s="499" t="s">
        <v>524</v>
      </c>
      <c r="C19" s="212"/>
      <c r="D19" s="212"/>
      <c r="E19" s="205"/>
      <c r="F19" s="205"/>
    </row>
    <row r="20" spans="1:6" s="17" customFormat="1" ht="28.5" customHeight="1" x14ac:dyDescent="0.25">
      <c r="A20" s="13" t="s">
        <v>18</v>
      </c>
      <c r="B20" s="186" t="s">
        <v>443</v>
      </c>
      <c r="C20" s="212">
        <v>0</v>
      </c>
      <c r="D20" s="212">
        <v>11.56298209</v>
      </c>
      <c r="E20" s="205">
        <f t="shared" si="0"/>
        <v>1.6140399343941934E-2</v>
      </c>
      <c r="F20" s="205" t="str">
        <f>IFERROR(D20/C20, "-")</f>
        <v>-</v>
      </c>
    </row>
    <row r="21" spans="1:6" s="17" customFormat="1" ht="28.5" customHeight="1" x14ac:dyDescent="0.25">
      <c r="A21" s="13"/>
      <c r="B21" s="499" t="s">
        <v>525</v>
      </c>
      <c r="C21" s="212"/>
      <c r="D21" s="212"/>
      <c r="E21" s="205"/>
      <c r="F21" s="205"/>
    </row>
    <row r="22" spans="1:6" s="17" customFormat="1" ht="28.5" customHeight="1" x14ac:dyDescent="0.25">
      <c r="A22" s="13" t="s">
        <v>19</v>
      </c>
      <c r="B22" s="186" t="s">
        <v>444</v>
      </c>
      <c r="C22" s="212">
        <v>0</v>
      </c>
      <c r="D22" s="212">
        <v>10.5477507</v>
      </c>
      <c r="E22" s="205">
        <f t="shared" si="0"/>
        <v>1.4723270100502513E-2</v>
      </c>
      <c r="F22" s="205" t="str">
        <f>IFERROR(D22/C22, "-")</f>
        <v>-</v>
      </c>
    </row>
    <row r="23" spans="1:6" s="17" customFormat="1" ht="28.5" customHeight="1" x14ac:dyDescent="0.25">
      <c r="A23" s="13"/>
      <c r="B23" s="499" t="s">
        <v>523</v>
      </c>
      <c r="C23" s="212"/>
      <c r="D23" s="212"/>
      <c r="E23" s="205"/>
      <c r="F23" s="205"/>
    </row>
    <row r="24" spans="1:6" s="17" customFormat="1" ht="28.5" customHeight="1" x14ac:dyDescent="0.25">
      <c r="A24" s="13" t="s">
        <v>20</v>
      </c>
      <c r="B24" s="186" t="s">
        <v>445</v>
      </c>
      <c r="C24" s="212">
        <v>9.7543000000000006</v>
      </c>
      <c r="D24" s="212">
        <v>10.406599999999999</v>
      </c>
      <c r="E24" s="205">
        <f t="shared" si="0"/>
        <v>1.4526242322724734E-2</v>
      </c>
      <c r="F24" s="205">
        <f>IFERROR(D24/C24, "-")</f>
        <v>1.0668730713633985</v>
      </c>
    </row>
    <row r="25" spans="1:6" s="17" customFormat="1" ht="28.5" customHeight="1" x14ac:dyDescent="0.25">
      <c r="A25" s="13"/>
      <c r="B25" s="499" t="s">
        <v>523</v>
      </c>
      <c r="C25" s="212"/>
      <c r="D25" s="212"/>
      <c r="E25" s="205"/>
      <c r="F25" s="205"/>
    </row>
    <row r="26" spans="1:6" s="17" customFormat="1" ht="28.5" customHeight="1" x14ac:dyDescent="0.25">
      <c r="A26" s="13" t="s">
        <v>21</v>
      </c>
      <c r="B26" s="186" t="s">
        <v>446</v>
      </c>
      <c r="C26" s="212">
        <v>0</v>
      </c>
      <c r="D26" s="212">
        <v>10.098332189999999</v>
      </c>
      <c r="E26" s="205">
        <f t="shared" ref="E26" si="1">D26/$D$7</f>
        <v>1.4095941080402009E-2</v>
      </c>
      <c r="F26" s="205" t="str">
        <f>IFERROR(D26/C26, "-")</f>
        <v>-</v>
      </c>
    </row>
    <row r="27" spans="1:6" ht="28.5" customHeight="1" x14ac:dyDescent="0.2">
      <c r="A27" s="13"/>
      <c r="B27" s="499" t="s">
        <v>523</v>
      </c>
      <c r="C27" s="212"/>
      <c r="D27" s="212"/>
      <c r="E27" s="205"/>
      <c r="F27" s="205"/>
    </row>
  </sheetData>
  <mergeCells count="1">
    <mergeCell ref="A3:F3"/>
  </mergeCells>
  <phoneticPr fontId="8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G24"/>
  <sheetViews>
    <sheetView zoomScale="85" zoomScaleNormal="85" workbookViewId="0">
      <selection activeCell="I7" sqref="I7"/>
    </sheetView>
  </sheetViews>
  <sheetFormatPr defaultRowHeight="14.25" x14ac:dyDescent="0.2"/>
  <cols>
    <col min="1" max="1" width="4" style="3" bestFit="1" customWidth="1"/>
    <col min="2" max="2" width="43.42578125" style="2" customWidth="1"/>
    <col min="3" max="5" width="12.140625" style="2" customWidth="1"/>
    <col min="6" max="6" width="12.140625" style="9" customWidth="1"/>
    <col min="7" max="7" width="12.140625" style="2" customWidth="1"/>
    <col min="8" max="10" width="9.140625" style="2"/>
    <col min="11" max="11" width="13.140625" style="2" bestFit="1" customWidth="1"/>
    <col min="12" max="16384" width="9.140625" style="2"/>
  </cols>
  <sheetData>
    <row r="1" spans="1:7" ht="15" x14ac:dyDescent="0.2">
      <c r="G1" s="51" t="s">
        <v>272</v>
      </c>
    </row>
    <row r="3" spans="1:7" ht="22.5" customHeight="1" x14ac:dyDescent="0.2">
      <c r="A3" s="557" t="s">
        <v>511</v>
      </c>
      <c r="B3" s="553"/>
      <c r="C3" s="553"/>
      <c r="D3" s="553"/>
      <c r="E3" s="553"/>
      <c r="F3" s="559"/>
      <c r="G3" s="553"/>
    </row>
    <row r="4" spans="1:7" ht="15.75" thickBot="1" x14ac:dyDescent="0.25">
      <c r="G4" s="45" t="s">
        <v>389</v>
      </c>
    </row>
    <row r="5" spans="1:7" s="302" customFormat="1" ht="40.5" customHeight="1" thickBot="1" x14ac:dyDescent="0.3">
      <c r="A5" s="299" t="s">
        <v>93</v>
      </c>
      <c r="B5" s="49" t="s">
        <v>153</v>
      </c>
      <c r="C5" s="49" t="str">
        <f>'2-жадвал'!C5</f>
        <v>2024-йил</v>
      </c>
      <c r="D5" s="49" t="str">
        <f>'2-жадвал'!D5</f>
        <v>2025-йил</v>
      </c>
      <c r="E5" s="50" t="s">
        <v>156</v>
      </c>
      <c r="F5" s="49" t="s">
        <v>510</v>
      </c>
      <c r="G5" s="50" t="s">
        <v>375</v>
      </c>
    </row>
    <row r="6" spans="1:7" s="1" customFormat="1" ht="7.5" customHeight="1" x14ac:dyDescent="0.25">
      <c r="A6" s="10"/>
      <c r="B6" s="11"/>
      <c r="C6" s="11"/>
      <c r="D6" s="11"/>
      <c r="E6" s="11"/>
      <c r="F6" s="11"/>
      <c r="G6" s="12"/>
    </row>
    <row r="7" spans="1:7" s="17" customFormat="1" ht="31.5" customHeight="1" x14ac:dyDescent="0.25">
      <c r="A7" s="36"/>
      <c r="B7" s="87" t="s">
        <v>271</v>
      </c>
      <c r="C7" s="210">
        <v>250.19343872500008</v>
      </c>
      <c r="D7" s="210">
        <v>595.71848223599966</v>
      </c>
      <c r="E7" s="214">
        <v>1</v>
      </c>
      <c r="F7" s="206">
        <v>435</v>
      </c>
      <c r="G7" s="204">
        <f>IFERROR(D7/C7, "-")</f>
        <v>2.3810315940810227</v>
      </c>
    </row>
    <row r="8" spans="1:7" s="17" customFormat="1" ht="18" x14ac:dyDescent="0.25">
      <c r="A8" s="13"/>
      <c r="B8" s="88" t="s">
        <v>114</v>
      </c>
      <c r="C8" s="211"/>
      <c r="D8" s="211"/>
      <c r="E8" s="205"/>
      <c r="F8" s="207"/>
      <c r="G8" s="205"/>
    </row>
    <row r="9" spans="1:7" s="17" customFormat="1" ht="31.5" customHeight="1" x14ac:dyDescent="0.25">
      <c r="A9" s="13"/>
      <c r="B9" s="100" t="s">
        <v>9</v>
      </c>
      <c r="C9" s="212">
        <v>72.704875659999999</v>
      </c>
      <c r="D9" s="212">
        <v>175.49232308499995</v>
      </c>
      <c r="E9" s="215">
        <f>+D9/$D$7</f>
        <v>0.29458935439823564</v>
      </c>
      <c r="F9" s="208">
        <v>170</v>
      </c>
      <c r="G9" s="205">
        <f t="shared" ref="G9:G24" si="0">IFERROR(D9/C9, "-")</f>
        <v>2.4137627840212437</v>
      </c>
    </row>
    <row r="10" spans="1:7" s="17" customFormat="1" ht="31.5" customHeight="1" x14ac:dyDescent="0.25">
      <c r="A10" s="13"/>
      <c r="B10" s="100" t="s">
        <v>94</v>
      </c>
      <c r="C10" s="212">
        <v>5.0815051349999996</v>
      </c>
      <c r="D10" s="212">
        <v>20.821685132999995</v>
      </c>
      <c r="E10" s="215">
        <f t="shared" ref="E10:E12" si="1">+D10/$D$7</f>
        <v>3.495222282653853E-2</v>
      </c>
      <c r="F10" s="208">
        <v>22</v>
      </c>
      <c r="G10" s="205">
        <f t="shared" si="0"/>
        <v>4.0975428696482066</v>
      </c>
    </row>
    <row r="11" spans="1:7" s="17" customFormat="1" ht="31.5" customHeight="1" x14ac:dyDescent="0.25">
      <c r="A11" s="13"/>
      <c r="B11" s="100" t="s">
        <v>273</v>
      </c>
      <c r="C11" s="212">
        <v>0.54841210899999993</v>
      </c>
      <c r="D11" s="212">
        <v>3.8870164800000007</v>
      </c>
      <c r="E11" s="215">
        <f t="shared" si="1"/>
        <v>6.5249217472828401E-3</v>
      </c>
      <c r="F11" s="208">
        <v>5</v>
      </c>
      <c r="G11" s="205">
        <f t="shared" si="0"/>
        <v>7.0877655985528234</v>
      </c>
    </row>
    <row r="12" spans="1:7" s="17" customFormat="1" ht="31.5" customHeight="1" x14ac:dyDescent="0.25">
      <c r="A12" s="13"/>
      <c r="B12" s="100" t="s">
        <v>348</v>
      </c>
      <c r="C12" s="212">
        <v>126.70450074900008</v>
      </c>
      <c r="D12" s="212">
        <v>311.07195006099971</v>
      </c>
      <c r="E12" s="215">
        <f t="shared" si="1"/>
        <v>0.52217945109476316</v>
      </c>
      <c r="F12" s="208">
        <v>222</v>
      </c>
      <c r="G12" s="205">
        <f t="shared" si="0"/>
        <v>2.4550978712052944</v>
      </c>
    </row>
    <row r="13" spans="1:7" s="17" customFormat="1" ht="31.5" customHeight="1" x14ac:dyDescent="0.25">
      <c r="A13" s="56"/>
      <c r="B13" s="101" t="s">
        <v>391</v>
      </c>
      <c r="C13" s="213">
        <v>45.154145072000013</v>
      </c>
      <c r="D13" s="213">
        <v>84.445507476999978</v>
      </c>
      <c r="E13" s="216">
        <f>+D13/$D$7</f>
        <v>0.1417540499331798</v>
      </c>
      <c r="F13" s="209">
        <v>16</v>
      </c>
      <c r="G13" s="307">
        <f t="shared" si="0"/>
        <v>1.8701606982559051</v>
      </c>
    </row>
    <row r="14" spans="1:7" s="17" customFormat="1" ht="18" x14ac:dyDescent="0.25">
      <c r="A14" s="57"/>
      <c r="B14" s="89" t="s">
        <v>512</v>
      </c>
      <c r="C14" s="58"/>
      <c r="D14" s="58"/>
      <c r="E14" s="59"/>
      <c r="F14" s="60"/>
      <c r="G14" s="61"/>
    </row>
    <row r="15" spans="1:7" s="19" customFormat="1" ht="31.5" customHeight="1" x14ac:dyDescent="0.3">
      <c r="A15" s="13" t="s">
        <v>16</v>
      </c>
      <c r="B15" s="186" t="s">
        <v>437</v>
      </c>
      <c r="C15" s="212">
        <v>40.331401260000007</v>
      </c>
      <c r="D15" s="212">
        <v>50.604420809999979</v>
      </c>
      <c r="E15" s="205">
        <f t="shared" ref="E15:E24" si="2">D15/$D$7</f>
        <v>8.4946870575609484E-2</v>
      </c>
      <c r="F15" s="398" t="s">
        <v>98</v>
      </c>
      <c r="G15" s="399">
        <f t="shared" si="0"/>
        <v>1.2547151655796442</v>
      </c>
    </row>
    <row r="16" spans="1:7" s="19" customFormat="1" ht="31.5" customHeight="1" x14ac:dyDescent="0.3">
      <c r="A16" s="13" t="s">
        <v>6</v>
      </c>
      <c r="B16" s="186" t="s">
        <v>438</v>
      </c>
      <c r="C16" s="212">
        <v>7.2029650600000004</v>
      </c>
      <c r="D16" s="212">
        <v>27.970007310000003</v>
      </c>
      <c r="E16" s="205">
        <f t="shared" si="2"/>
        <v>4.6951719887917485E-2</v>
      </c>
      <c r="F16" s="398" t="s">
        <v>98</v>
      </c>
      <c r="G16" s="399">
        <f t="shared" si="0"/>
        <v>3.8831241130579635</v>
      </c>
    </row>
    <row r="17" spans="1:7" s="19" customFormat="1" ht="31.5" customHeight="1" x14ac:dyDescent="0.3">
      <c r="A17" s="13" t="s">
        <v>8</v>
      </c>
      <c r="B17" s="186" t="s">
        <v>442</v>
      </c>
      <c r="C17" s="212">
        <v>2.27</v>
      </c>
      <c r="D17" s="212">
        <v>12.3935</v>
      </c>
      <c r="E17" s="205">
        <f t="shared" si="2"/>
        <v>2.0804289894585132E-2</v>
      </c>
      <c r="F17" s="398" t="s">
        <v>98</v>
      </c>
      <c r="G17" s="399">
        <f t="shared" si="0"/>
        <v>5.4596916299559473</v>
      </c>
    </row>
    <row r="18" spans="1:7" s="19" customFormat="1" ht="31.5" customHeight="1" x14ac:dyDescent="0.3">
      <c r="A18" s="13" t="s">
        <v>14</v>
      </c>
      <c r="B18" s="186" t="s">
        <v>446</v>
      </c>
      <c r="C18" s="212">
        <v>0</v>
      </c>
      <c r="D18" s="212">
        <v>10.098332189999999</v>
      </c>
      <c r="E18" s="205">
        <f t="shared" si="2"/>
        <v>1.6951517354466511E-2</v>
      </c>
      <c r="F18" s="398" t="s">
        <v>98</v>
      </c>
      <c r="G18" s="399" t="str">
        <f t="shared" si="0"/>
        <v>-</v>
      </c>
    </row>
    <row r="19" spans="1:7" s="17" customFormat="1" ht="31.5" customHeight="1" x14ac:dyDescent="0.25">
      <c r="A19" s="13" t="s">
        <v>2</v>
      </c>
      <c r="B19" s="186" t="s">
        <v>447</v>
      </c>
      <c r="C19" s="212">
        <v>1.2943481800000001</v>
      </c>
      <c r="D19" s="212">
        <v>9.5935880599999965</v>
      </c>
      <c r="E19" s="205">
        <f t="shared" si="2"/>
        <v>1.6104231018636422E-2</v>
      </c>
      <c r="F19" s="398" t="s">
        <v>98</v>
      </c>
      <c r="G19" s="399">
        <f t="shared" si="0"/>
        <v>7.4119067869357966</v>
      </c>
    </row>
    <row r="20" spans="1:7" s="17" customFormat="1" ht="31.5" customHeight="1" x14ac:dyDescent="0.25">
      <c r="A20" s="13" t="s">
        <v>17</v>
      </c>
      <c r="B20" s="186" t="s">
        <v>448</v>
      </c>
      <c r="C20" s="212">
        <v>0.90456800000000004</v>
      </c>
      <c r="D20" s="212">
        <v>8.1675540000000009</v>
      </c>
      <c r="E20" s="205">
        <f t="shared" si="2"/>
        <v>1.3710425718778263E-2</v>
      </c>
      <c r="F20" s="398" t="s">
        <v>98</v>
      </c>
      <c r="G20" s="399">
        <f t="shared" si="0"/>
        <v>9.0292316332216043</v>
      </c>
    </row>
    <row r="21" spans="1:7" s="17" customFormat="1" ht="31.5" customHeight="1" x14ac:dyDescent="0.25">
      <c r="A21" s="13" t="s">
        <v>18</v>
      </c>
      <c r="B21" s="186" t="s">
        <v>449</v>
      </c>
      <c r="C21" s="212">
        <v>0.31007521999999998</v>
      </c>
      <c r="D21" s="212">
        <v>5.8369780000000002</v>
      </c>
      <c r="E21" s="205">
        <f t="shared" si="2"/>
        <v>9.7982153887373E-3</v>
      </c>
      <c r="F21" s="398" t="s">
        <v>98</v>
      </c>
      <c r="G21" s="399">
        <f t="shared" si="0"/>
        <v>18.824393642291056</v>
      </c>
    </row>
    <row r="22" spans="1:7" s="17" customFormat="1" ht="31.5" customHeight="1" x14ac:dyDescent="0.25">
      <c r="A22" s="13" t="s">
        <v>19</v>
      </c>
      <c r="B22" s="186" t="s">
        <v>452</v>
      </c>
      <c r="C22" s="212">
        <v>1.1963548100000001</v>
      </c>
      <c r="D22" s="212">
        <v>5.3249798699999991</v>
      </c>
      <c r="E22" s="205">
        <f t="shared" si="2"/>
        <v>8.9387521602703208E-3</v>
      </c>
      <c r="F22" s="398" t="s">
        <v>98</v>
      </c>
      <c r="G22" s="399">
        <f t="shared" si="0"/>
        <v>4.4510038539486443</v>
      </c>
    </row>
    <row r="23" spans="1:7" s="17" customFormat="1" ht="31.5" customHeight="1" x14ac:dyDescent="0.25">
      <c r="A23" s="13" t="s">
        <v>20</v>
      </c>
      <c r="B23" s="186" t="s">
        <v>451</v>
      </c>
      <c r="C23" s="212">
        <v>0.56427099999999997</v>
      </c>
      <c r="D23" s="212">
        <v>5.0586566100000008</v>
      </c>
      <c r="E23" s="205">
        <f t="shared" si="2"/>
        <v>8.4916898851494175E-3</v>
      </c>
      <c r="F23" s="398" t="s">
        <v>98</v>
      </c>
      <c r="G23" s="399">
        <f t="shared" si="0"/>
        <v>8.9649416858211772</v>
      </c>
    </row>
    <row r="24" spans="1:7" ht="31.5" customHeight="1" x14ac:dyDescent="0.2">
      <c r="A24" s="13" t="s">
        <v>21</v>
      </c>
      <c r="B24" s="186" t="s">
        <v>450</v>
      </c>
      <c r="C24" s="212">
        <v>0</v>
      </c>
      <c r="D24" s="212">
        <v>4.9032379399999995</v>
      </c>
      <c r="E24" s="205">
        <f t="shared" si="2"/>
        <v>8.2307970731341756E-3</v>
      </c>
      <c r="F24" s="398" t="s">
        <v>98</v>
      </c>
      <c r="G24" s="399" t="str">
        <f t="shared" si="0"/>
        <v>-</v>
      </c>
    </row>
  </sheetData>
  <sortState ref="B15:G24">
    <sortCondition descending="1" ref="E15:E24"/>
  </sortState>
  <mergeCells count="1">
    <mergeCell ref="A3:G3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8"/>
  </sheetPr>
  <dimension ref="A1:G25"/>
  <sheetViews>
    <sheetView zoomScale="80" zoomScaleNormal="80" workbookViewId="0">
      <selection activeCell="I7" sqref="I7"/>
    </sheetView>
  </sheetViews>
  <sheetFormatPr defaultRowHeight="14.25" x14ac:dyDescent="0.2"/>
  <cols>
    <col min="1" max="1" width="4" style="3" bestFit="1" customWidth="1"/>
    <col min="2" max="2" width="43.42578125" style="2" customWidth="1"/>
    <col min="3" max="5" width="12.140625" style="2" customWidth="1"/>
    <col min="6" max="6" width="12.140625" style="9" customWidth="1"/>
    <col min="7" max="7" width="12.140625" style="2" customWidth="1"/>
    <col min="8" max="11" width="9.140625" style="2"/>
    <col min="12" max="12" width="13.140625" style="2" bestFit="1" customWidth="1"/>
    <col min="13" max="16384" width="9.140625" style="2"/>
  </cols>
  <sheetData>
    <row r="1" spans="1:7" ht="15" x14ac:dyDescent="0.2">
      <c r="G1" s="51" t="s">
        <v>274</v>
      </c>
    </row>
    <row r="3" spans="1:7" ht="22.5" customHeight="1" x14ac:dyDescent="0.2">
      <c r="A3" s="557" t="s">
        <v>353</v>
      </c>
      <c r="B3" s="553"/>
      <c r="C3" s="553"/>
      <c r="D3" s="553"/>
      <c r="E3" s="553"/>
      <c r="F3" s="559"/>
      <c r="G3" s="553"/>
    </row>
    <row r="4" spans="1:7" ht="15.75" thickBot="1" x14ac:dyDescent="0.25">
      <c r="G4" s="45" t="s">
        <v>389</v>
      </c>
    </row>
    <row r="5" spans="1:7" s="1" customFormat="1" ht="40.5" customHeight="1" thickBot="1" x14ac:dyDescent="0.3">
      <c r="A5" s="282" t="s">
        <v>93</v>
      </c>
      <c r="B5" s="77" t="s">
        <v>153</v>
      </c>
      <c r="C5" s="77" t="str">
        <f>'2-жадвал'!C5</f>
        <v>2024-йил</v>
      </c>
      <c r="D5" s="77" t="str">
        <f>'2-жадвал'!D5</f>
        <v>2025-йил</v>
      </c>
      <c r="E5" s="78" t="s">
        <v>156</v>
      </c>
      <c r="F5" s="77" t="s">
        <v>510</v>
      </c>
      <c r="G5" s="78" t="s">
        <v>375</v>
      </c>
    </row>
    <row r="6" spans="1:7" s="1" customFormat="1" ht="7.5" customHeight="1" x14ac:dyDescent="0.25">
      <c r="A6" s="10"/>
      <c r="B6" s="11"/>
      <c r="C6" s="11"/>
      <c r="D6" s="11"/>
      <c r="E6" s="11"/>
      <c r="F6" s="11"/>
      <c r="G6" s="12"/>
    </row>
    <row r="7" spans="1:7" s="17" customFormat="1" ht="31.5" customHeight="1" x14ac:dyDescent="0.25">
      <c r="A7" s="36"/>
      <c r="B7" s="87" t="s">
        <v>271</v>
      </c>
      <c r="C7" s="210">
        <v>216.1719724430001</v>
      </c>
      <c r="D7" s="210">
        <v>120.63316172600001</v>
      </c>
      <c r="E7" s="214">
        <v>1</v>
      </c>
      <c r="F7" s="206">
        <v>344</v>
      </c>
      <c r="G7" s="204">
        <f>IFERROR(D7/C7, "-")</f>
        <v>0.55804256381020156</v>
      </c>
    </row>
    <row r="8" spans="1:7" s="17" customFormat="1" ht="18" x14ac:dyDescent="0.25">
      <c r="A8" s="13"/>
      <c r="B8" s="88" t="s">
        <v>114</v>
      </c>
      <c r="C8" s="211"/>
      <c r="D8" s="211"/>
      <c r="E8" s="205"/>
      <c r="F8" s="207"/>
      <c r="G8" s="205"/>
    </row>
    <row r="9" spans="1:7" s="17" customFormat="1" ht="31.5" customHeight="1" x14ac:dyDescent="0.25">
      <c r="A9" s="13"/>
      <c r="B9" s="100" t="s">
        <v>9</v>
      </c>
      <c r="C9" s="212">
        <v>47.06821012000001</v>
      </c>
      <c r="D9" s="212">
        <v>27.496482529999998</v>
      </c>
      <c r="E9" s="215">
        <v>0.22793469172642677</v>
      </c>
      <c r="F9" s="208">
        <v>89</v>
      </c>
      <c r="G9" s="205">
        <f t="shared" ref="G9:G24" si="0">IFERROR(D9/C9, "-")</f>
        <v>0.58418372952568076</v>
      </c>
    </row>
    <row r="10" spans="1:7" s="17" customFormat="1" ht="31.5" customHeight="1" x14ac:dyDescent="0.25">
      <c r="A10" s="13"/>
      <c r="B10" s="100" t="s">
        <v>94</v>
      </c>
      <c r="C10" s="212">
        <v>1.1697070000000001</v>
      </c>
      <c r="D10" s="212">
        <v>0.95253559999999993</v>
      </c>
      <c r="E10" s="215">
        <v>7.8961339184953176E-3</v>
      </c>
      <c r="F10" s="208">
        <v>3</v>
      </c>
      <c r="G10" s="205">
        <f t="shared" si="0"/>
        <v>0.81433692369114652</v>
      </c>
    </row>
    <row r="11" spans="1:7" s="17" customFormat="1" ht="31.5" customHeight="1" x14ac:dyDescent="0.25">
      <c r="A11" s="13"/>
      <c r="B11" s="100" t="s">
        <v>273</v>
      </c>
      <c r="C11" s="212">
        <v>0.99918300000000004</v>
      </c>
      <c r="D11" s="212">
        <v>0.56334399999999996</v>
      </c>
      <c r="E11" s="215">
        <v>4.6698933522073367E-3</v>
      </c>
      <c r="F11" s="208">
        <v>10</v>
      </c>
      <c r="G11" s="205">
        <f t="shared" si="0"/>
        <v>0.56380462838138756</v>
      </c>
    </row>
    <row r="12" spans="1:7" s="17" customFormat="1" ht="31.5" customHeight="1" x14ac:dyDescent="0.25">
      <c r="A12" s="13"/>
      <c r="B12" s="100" t="s">
        <v>348</v>
      </c>
      <c r="C12" s="212">
        <v>165.5055832030001</v>
      </c>
      <c r="D12" s="212">
        <v>90.722469056000008</v>
      </c>
      <c r="E12" s="215">
        <v>0.75205248505433675</v>
      </c>
      <c r="F12" s="208">
        <v>231</v>
      </c>
      <c r="G12" s="205">
        <f t="shared" si="0"/>
        <v>0.54815352630566416</v>
      </c>
    </row>
    <row r="13" spans="1:7" s="17" customFormat="1" ht="31.5" customHeight="1" x14ac:dyDescent="0.25">
      <c r="A13" s="56"/>
      <c r="B13" s="101" t="s">
        <v>391</v>
      </c>
      <c r="C13" s="213">
        <v>1.4292891200000002</v>
      </c>
      <c r="D13" s="213">
        <v>0.89833054000000001</v>
      </c>
      <c r="E13" s="216">
        <v>7.4467959485338036E-3</v>
      </c>
      <c r="F13" s="209">
        <v>11</v>
      </c>
      <c r="G13" s="307">
        <f t="shared" si="0"/>
        <v>0.62851562180785359</v>
      </c>
    </row>
    <row r="14" spans="1:7" s="17" customFormat="1" ht="18" x14ac:dyDescent="0.25">
      <c r="A14" s="57"/>
      <c r="B14" s="89" t="s">
        <v>512</v>
      </c>
      <c r="C14" s="58"/>
      <c r="D14" s="58"/>
      <c r="E14" s="59"/>
      <c r="F14" s="60"/>
      <c r="G14" s="61"/>
    </row>
    <row r="15" spans="1:7" s="19" customFormat="1" ht="31.5" customHeight="1" x14ac:dyDescent="0.3">
      <c r="A15" s="13" t="s">
        <v>16</v>
      </c>
      <c r="B15" s="186" t="s">
        <v>453</v>
      </c>
      <c r="C15" s="212">
        <v>6.0030000000000001</v>
      </c>
      <c r="D15" s="212">
        <v>0</v>
      </c>
      <c r="E15" s="205">
        <f t="shared" ref="E15:E24" si="1">D15/$D$7</f>
        <v>0</v>
      </c>
      <c r="F15" s="398" t="s">
        <v>98</v>
      </c>
      <c r="G15" s="399">
        <f t="shared" si="0"/>
        <v>0</v>
      </c>
    </row>
    <row r="16" spans="1:7" s="19" customFormat="1" ht="31.5" customHeight="1" x14ac:dyDescent="0.3">
      <c r="A16" s="13" t="s">
        <v>6</v>
      </c>
      <c r="B16" s="186" t="s">
        <v>454</v>
      </c>
      <c r="C16" s="212">
        <v>6</v>
      </c>
      <c r="D16" s="212">
        <v>0</v>
      </c>
      <c r="E16" s="205">
        <f t="shared" si="1"/>
        <v>0</v>
      </c>
      <c r="F16" s="398" t="s">
        <v>98</v>
      </c>
      <c r="G16" s="399">
        <f t="shared" si="0"/>
        <v>0</v>
      </c>
    </row>
    <row r="17" spans="1:7" s="19" customFormat="1" ht="31.5" customHeight="1" x14ac:dyDescent="0.3">
      <c r="A17" s="13" t="s">
        <v>8</v>
      </c>
      <c r="B17" s="186" t="s">
        <v>455</v>
      </c>
      <c r="C17" s="212">
        <v>5.5</v>
      </c>
      <c r="D17" s="212">
        <v>0</v>
      </c>
      <c r="E17" s="205">
        <f t="shared" si="1"/>
        <v>0</v>
      </c>
      <c r="F17" s="398" t="s">
        <v>98</v>
      </c>
      <c r="G17" s="399">
        <f t="shared" si="0"/>
        <v>0</v>
      </c>
    </row>
    <row r="18" spans="1:7" s="19" customFormat="1" ht="31.5" customHeight="1" x14ac:dyDescent="0.3">
      <c r="A18" s="13" t="s">
        <v>14</v>
      </c>
      <c r="B18" s="186" t="s">
        <v>457</v>
      </c>
      <c r="C18" s="212">
        <v>4.88</v>
      </c>
      <c r="D18" s="212">
        <v>0</v>
      </c>
      <c r="E18" s="205">
        <f t="shared" si="1"/>
        <v>0</v>
      </c>
      <c r="F18" s="398" t="s">
        <v>98</v>
      </c>
      <c r="G18" s="399">
        <f t="shared" si="0"/>
        <v>0</v>
      </c>
    </row>
    <row r="19" spans="1:7" s="17" customFormat="1" ht="31.5" customHeight="1" x14ac:dyDescent="0.25">
      <c r="A19" s="13" t="s">
        <v>2</v>
      </c>
      <c r="B19" s="186" t="s">
        <v>458</v>
      </c>
      <c r="C19" s="212">
        <v>3.8</v>
      </c>
      <c r="D19" s="212">
        <v>0</v>
      </c>
      <c r="E19" s="205">
        <f t="shared" si="1"/>
        <v>0</v>
      </c>
      <c r="F19" s="398" t="s">
        <v>98</v>
      </c>
      <c r="G19" s="399">
        <f t="shared" si="0"/>
        <v>0</v>
      </c>
    </row>
    <row r="20" spans="1:7" s="17" customFormat="1" ht="31.5" customHeight="1" x14ac:dyDescent="0.25">
      <c r="A20" s="13" t="s">
        <v>17</v>
      </c>
      <c r="B20" s="186" t="s">
        <v>460</v>
      </c>
      <c r="C20" s="212">
        <v>2.9660000000000002</v>
      </c>
      <c r="D20" s="212">
        <v>7.3599999999999999E-2</v>
      </c>
      <c r="E20" s="205">
        <f t="shared" si="1"/>
        <v>6.1011415888419858E-4</v>
      </c>
      <c r="F20" s="398" t="s">
        <v>98</v>
      </c>
      <c r="G20" s="399">
        <f t="shared" si="0"/>
        <v>2.4814565070802427E-2</v>
      </c>
    </row>
    <row r="21" spans="1:7" s="17" customFormat="1" ht="31.5" customHeight="1" x14ac:dyDescent="0.25">
      <c r="A21" s="13" t="s">
        <v>18</v>
      </c>
      <c r="B21" s="186" t="s">
        <v>459</v>
      </c>
      <c r="C21" s="212">
        <v>3.2505630000000001</v>
      </c>
      <c r="D21" s="212">
        <v>0.23312814000000001</v>
      </c>
      <c r="E21" s="205">
        <f t="shared" si="1"/>
        <v>1.9325377588089363E-3</v>
      </c>
      <c r="F21" s="398" t="s">
        <v>98</v>
      </c>
      <c r="G21" s="399">
        <f t="shared" si="0"/>
        <v>7.1719311393134047E-2</v>
      </c>
    </row>
    <row r="22" spans="1:7" s="17" customFormat="1" ht="31.5" customHeight="1" x14ac:dyDescent="0.25">
      <c r="A22" s="13" t="s">
        <v>19</v>
      </c>
      <c r="B22" s="186" t="s">
        <v>456</v>
      </c>
      <c r="C22" s="212">
        <v>7.15222464</v>
      </c>
      <c r="D22" s="212">
        <v>2.149</v>
      </c>
      <c r="E22" s="205">
        <f t="shared" si="1"/>
        <v>1.7814338688072594E-2</v>
      </c>
      <c r="F22" s="398" t="s">
        <v>98</v>
      </c>
      <c r="G22" s="399">
        <f t="shared" si="0"/>
        <v>0.3004659540447544</v>
      </c>
    </row>
    <row r="23" spans="1:7" s="17" customFormat="1" ht="31.5" customHeight="1" x14ac:dyDescent="0.25">
      <c r="A23" s="13" t="s">
        <v>20</v>
      </c>
      <c r="B23" s="186" t="s">
        <v>461</v>
      </c>
      <c r="C23" s="212">
        <v>4.6780999999999997</v>
      </c>
      <c r="D23" s="212">
        <v>2.3736000000000002</v>
      </c>
      <c r="E23" s="205">
        <f t="shared" si="1"/>
        <v>1.9676181624015406E-2</v>
      </c>
      <c r="F23" s="398" t="s">
        <v>98</v>
      </c>
      <c r="G23" s="399">
        <f t="shared" si="0"/>
        <v>0.50738547700989722</v>
      </c>
    </row>
    <row r="24" spans="1:7" ht="31.5" customHeight="1" x14ac:dyDescent="0.2">
      <c r="A24" s="13" t="s">
        <v>21</v>
      </c>
      <c r="B24" s="186" t="s">
        <v>440</v>
      </c>
      <c r="C24" s="212">
        <v>23.24876167</v>
      </c>
      <c r="D24" s="212">
        <v>20.355433369999997</v>
      </c>
      <c r="E24" s="205">
        <f t="shared" si="1"/>
        <v>0.16873828952800132</v>
      </c>
      <c r="F24" s="398" t="s">
        <v>98</v>
      </c>
      <c r="G24" s="399">
        <f t="shared" si="0"/>
        <v>0.87554914360305347</v>
      </c>
    </row>
    <row r="25" spans="1:7" x14ac:dyDescent="0.2">
      <c r="C25" s="187"/>
      <c r="D25" s="187"/>
    </row>
  </sheetData>
  <sortState ref="B15:G24">
    <sortCondition ref="E15:E24"/>
  </sortState>
  <mergeCells count="1">
    <mergeCell ref="A3:G3"/>
  </mergeCells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8"/>
  </sheetPr>
  <dimension ref="A1:I24"/>
  <sheetViews>
    <sheetView zoomScale="85" zoomScaleNormal="85" workbookViewId="0">
      <selection activeCell="H7" sqref="H7"/>
    </sheetView>
  </sheetViews>
  <sheetFormatPr defaultRowHeight="14.25" x14ac:dyDescent="0.2"/>
  <cols>
    <col min="1" max="1" width="6" style="3" customWidth="1"/>
    <col min="2" max="2" width="50.42578125" style="2" bestFit="1" customWidth="1"/>
    <col min="3" max="4" width="12.7109375" style="2" customWidth="1"/>
    <col min="5" max="5" width="12.7109375" style="9" customWidth="1"/>
    <col min="6" max="6" width="12.7109375" style="2" customWidth="1"/>
    <col min="7" max="16384" width="9.140625" style="2"/>
  </cols>
  <sheetData>
    <row r="1" spans="1:9" ht="15" x14ac:dyDescent="0.2">
      <c r="F1" s="51" t="s">
        <v>275</v>
      </c>
    </row>
    <row r="3" spans="1:9" ht="18" x14ac:dyDescent="0.2">
      <c r="A3" s="551" t="s">
        <v>392</v>
      </c>
      <c r="B3" s="553"/>
      <c r="C3" s="553"/>
      <c r="D3" s="553"/>
      <c r="E3" s="559"/>
      <c r="F3" s="553"/>
    </row>
    <row r="4" spans="1:9" ht="15.75" thickBot="1" x14ac:dyDescent="0.25">
      <c r="F4" s="45" t="s">
        <v>276</v>
      </c>
    </row>
    <row r="5" spans="1:9" s="1" customFormat="1" ht="40.5" customHeight="1" thickBot="1" x14ac:dyDescent="0.3">
      <c r="A5" s="46" t="s">
        <v>93</v>
      </c>
      <c r="B5" s="47" t="s">
        <v>153</v>
      </c>
      <c r="C5" s="49" t="str">
        <f>'2-жадвал'!C5</f>
        <v>2024-йил</v>
      </c>
      <c r="D5" s="49" t="str">
        <f>'2-жадвал'!D5</f>
        <v>2025-йил</v>
      </c>
      <c r="E5" s="48" t="s">
        <v>156</v>
      </c>
      <c r="F5" s="50" t="s">
        <v>375</v>
      </c>
    </row>
    <row r="6" spans="1:9" s="1" customFormat="1" ht="7.5" customHeight="1" x14ac:dyDescent="0.25">
      <c r="A6" s="10"/>
      <c r="B6" s="11"/>
      <c r="C6" s="11"/>
      <c r="D6" s="11"/>
      <c r="E6" s="11"/>
      <c r="F6" s="12"/>
    </row>
    <row r="7" spans="1:9" s="17" customFormat="1" ht="38.25" customHeight="1" x14ac:dyDescent="0.25">
      <c r="A7" s="32">
        <v>1</v>
      </c>
      <c r="B7" s="33" t="s">
        <v>277</v>
      </c>
      <c r="C7" s="177">
        <f>'2-жадвал'!C7</f>
        <v>20423</v>
      </c>
      <c r="D7" s="177">
        <f>'2-жадвал'!D7</f>
        <v>33405</v>
      </c>
      <c r="E7" s="295">
        <f>SUM(E9:E13)</f>
        <v>1.0000179613830265</v>
      </c>
      <c r="F7" s="309">
        <f>IFERROR(D7/C7, "-")</f>
        <v>1.6356558781765655</v>
      </c>
    </row>
    <row r="8" spans="1:9" s="17" customFormat="1" ht="18.75" x14ac:dyDescent="0.25">
      <c r="A8" s="14"/>
      <c r="B8" s="18" t="s">
        <v>278</v>
      </c>
      <c r="C8" s="432"/>
      <c r="D8" s="432"/>
      <c r="E8" s="217"/>
      <c r="F8" s="218"/>
    </row>
    <row r="9" spans="1:9" s="19" customFormat="1" ht="38.25" customHeight="1" x14ac:dyDescent="0.3">
      <c r="A9" s="75" t="s">
        <v>3</v>
      </c>
      <c r="B9" s="102" t="s">
        <v>9</v>
      </c>
      <c r="C9" s="530">
        <v>1585.6</v>
      </c>
      <c r="D9" s="530">
        <v>2725.7</v>
      </c>
      <c r="E9" s="221">
        <f>D9/$D$7</f>
        <v>8.159556952552012E-2</v>
      </c>
      <c r="F9" s="222">
        <f t="shared" ref="F9:F24" si="0">IFERROR(D9/C9, "-")</f>
        <v>1.7190338042381432</v>
      </c>
      <c r="I9" s="532"/>
    </row>
    <row r="10" spans="1:9" s="19" customFormat="1" ht="38.25" customHeight="1" x14ac:dyDescent="0.3">
      <c r="A10" s="75" t="s">
        <v>4</v>
      </c>
      <c r="B10" s="102" t="s">
        <v>94</v>
      </c>
      <c r="C10" s="530">
        <v>86.055999999999997</v>
      </c>
      <c r="D10" s="530">
        <v>376.1</v>
      </c>
      <c r="E10" s="221">
        <f>D10/$D$7</f>
        <v>1.1258793593773388E-2</v>
      </c>
      <c r="F10" s="222">
        <f t="shared" si="0"/>
        <v>4.3704099656037929</v>
      </c>
    </row>
    <row r="11" spans="1:9" s="19" customFormat="1" ht="38.25" customHeight="1" x14ac:dyDescent="0.3">
      <c r="A11" s="75" t="s">
        <v>5</v>
      </c>
      <c r="B11" s="102" t="s">
        <v>95</v>
      </c>
      <c r="C11" s="530">
        <v>213.9</v>
      </c>
      <c r="D11" s="530">
        <v>338.9</v>
      </c>
      <c r="E11" s="221">
        <f>D11/$D$7</f>
        <v>1.0145187846130818E-2</v>
      </c>
      <c r="F11" s="222">
        <f t="shared" si="0"/>
        <v>1.5843852267414678</v>
      </c>
    </row>
    <row r="12" spans="1:9" s="17" customFormat="1" ht="38.25" customHeight="1" x14ac:dyDescent="0.25">
      <c r="A12" s="75" t="s">
        <v>29</v>
      </c>
      <c r="B12" s="102" t="s">
        <v>348</v>
      </c>
      <c r="C12" s="530">
        <v>12353.7</v>
      </c>
      <c r="D12" s="530">
        <v>18889.599999999999</v>
      </c>
      <c r="E12" s="221">
        <f>D12/$D$7</f>
        <v>0.56547223469540486</v>
      </c>
      <c r="F12" s="222">
        <f t="shared" si="0"/>
        <v>1.529064167010693</v>
      </c>
    </row>
    <row r="13" spans="1:9" s="19" customFormat="1" ht="38.25" customHeight="1" x14ac:dyDescent="0.3">
      <c r="A13" s="477" t="s">
        <v>30</v>
      </c>
      <c r="B13" s="478" t="s">
        <v>10</v>
      </c>
      <c r="C13" s="531">
        <v>6184.3</v>
      </c>
      <c r="D13" s="531">
        <v>11075.3</v>
      </c>
      <c r="E13" s="479">
        <f>D13/$D$7</f>
        <v>0.33154617572219724</v>
      </c>
      <c r="F13" s="480">
        <f t="shared" si="0"/>
        <v>1.7908736639555001</v>
      </c>
    </row>
    <row r="14" spans="1:9" s="17" customFormat="1" ht="56.25" customHeight="1" x14ac:dyDescent="0.25">
      <c r="A14" s="481" t="s">
        <v>6</v>
      </c>
      <c r="B14" s="482" t="s">
        <v>513</v>
      </c>
      <c r="C14" s="483">
        <f>SUM(C15:C24)</f>
        <v>7507.0851256369997</v>
      </c>
      <c r="D14" s="483">
        <f>SUM(D15:D24)</f>
        <v>11833.301172869</v>
      </c>
      <c r="E14" s="484">
        <f>SUM(E15:E24)</f>
        <v>35.423742472291572</v>
      </c>
      <c r="F14" s="485">
        <f t="shared" si="0"/>
        <v>1.5762843999807326</v>
      </c>
    </row>
    <row r="15" spans="1:9" s="17" customFormat="1" ht="38.25" customHeight="1" x14ac:dyDescent="0.25">
      <c r="A15" s="74" t="s">
        <v>7</v>
      </c>
      <c r="B15" s="433" t="s">
        <v>462</v>
      </c>
      <c r="C15" s="425">
        <v>1831.4887859999999</v>
      </c>
      <c r="D15" s="425">
        <v>3444.6080178120005</v>
      </c>
      <c r="E15" s="219">
        <f>D15/$D$7*100</f>
        <v>10.311653997341717</v>
      </c>
      <c r="F15" s="311">
        <f t="shared" si="0"/>
        <v>1.8807693741522045</v>
      </c>
    </row>
    <row r="16" spans="1:9" s="17" customFormat="1" ht="38.25" customHeight="1" x14ac:dyDescent="0.25">
      <c r="A16" s="74" t="s">
        <v>11</v>
      </c>
      <c r="B16" s="433" t="s">
        <v>463</v>
      </c>
      <c r="C16" s="425">
        <v>1315.1402050000002</v>
      </c>
      <c r="D16" s="425">
        <v>2215.0522569999998</v>
      </c>
      <c r="E16" s="219">
        <f t="shared" ref="E16:E24" si="1">D16/$D$7*100</f>
        <v>6.6309003352791498</v>
      </c>
      <c r="F16" s="311">
        <f t="shared" si="0"/>
        <v>1.6842708089819212</v>
      </c>
    </row>
    <row r="17" spans="1:6" s="17" customFormat="1" ht="38.25" customHeight="1" x14ac:dyDescent="0.25">
      <c r="A17" s="74" t="s">
        <v>12</v>
      </c>
      <c r="B17" s="433" t="s">
        <v>464</v>
      </c>
      <c r="C17" s="425">
        <v>1228.34968529</v>
      </c>
      <c r="D17" s="425">
        <v>1418.0436711799998</v>
      </c>
      <c r="E17" s="219">
        <f t="shared" si="1"/>
        <v>4.2450042543930548</v>
      </c>
      <c r="F17" s="311">
        <f t="shared" si="0"/>
        <v>1.1544299544027767</v>
      </c>
    </row>
    <row r="18" spans="1:6" s="17" customFormat="1" ht="38.25" customHeight="1" x14ac:dyDescent="0.25">
      <c r="A18" s="74" t="s">
        <v>13</v>
      </c>
      <c r="B18" s="433" t="s">
        <v>465</v>
      </c>
      <c r="C18" s="425">
        <v>510.02832080000007</v>
      </c>
      <c r="D18" s="425">
        <v>817.08180799999991</v>
      </c>
      <c r="E18" s="219">
        <f t="shared" si="1"/>
        <v>2.4459865529112403</v>
      </c>
      <c r="F18" s="311">
        <f t="shared" si="0"/>
        <v>1.6020322297365253</v>
      </c>
    </row>
    <row r="19" spans="1:6" s="17" customFormat="1" ht="38.25" customHeight="1" x14ac:dyDescent="0.25">
      <c r="A19" s="74" t="s">
        <v>22</v>
      </c>
      <c r="B19" s="433" t="s">
        <v>466</v>
      </c>
      <c r="C19" s="425">
        <v>612.57390599999997</v>
      </c>
      <c r="D19" s="425">
        <v>789.41275696000014</v>
      </c>
      <c r="E19" s="219">
        <f t="shared" si="1"/>
        <v>2.3631574822930701</v>
      </c>
      <c r="F19" s="311">
        <f t="shared" si="0"/>
        <v>1.2886816582095812</v>
      </c>
    </row>
    <row r="20" spans="1:6" s="17" customFormat="1" ht="38.25" customHeight="1" x14ac:dyDescent="0.25">
      <c r="A20" s="74" t="s">
        <v>23</v>
      </c>
      <c r="B20" s="433" t="s">
        <v>467</v>
      </c>
      <c r="C20" s="425">
        <v>517.32698167699994</v>
      </c>
      <c r="D20" s="425">
        <v>732.81146075399988</v>
      </c>
      <c r="E20" s="219">
        <f t="shared" si="1"/>
        <v>2.1937178888010775</v>
      </c>
      <c r="F20" s="311">
        <f t="shared" si="0"/>
        <v>1.4165343906449106</v>
      </c>
    </row>
    <row r="21" spans="1:6" s="17" customFormat="1" ht="38.25" customHeight="1" x14ac:dyDescent="0.25">
      <c r="A21" s="74" t="s">
        <v>24</v>
      </c>
      <c r="B21" s="433" t="s">
        <v>468</v>
      </c>
      <c r="C21" s="425">
        <v>451.422063063</v>
      </c>
      <c r="D21" s="425">
        <v>714.44926747900024</v>
      </c>
      <c r="E21" s="219">
        <f t="shared" si="1"/>
        <v>2.1387494910312834</v>
      </c>
      <c r="F21" s="311">
        <f t="shared" si="0"/>
        <v>1.58266360007152</v>
      </c>
    </row>
    <row r="22" spans="1:6" s="17" customFormat="1" ht="38.25" customHeight="1" x14ac:dyDescent="0.25">
      <c r="A22" s="74" t="s">
        <v>25</v>
      </c>
      <c r="B22" s="433" t="s">
        <v>437</v>
      </c>
      <c r="C22" s="425">
        <v>541.47085563999997</v>
      </c>
      <c r="D22" s="425">
        <v>673.61572732000002</v>
      </c>
      <c r="E22" s="219">
        <f t="shared" si="1"/>
        <v>2.0165116818440354</v>
      </c>
      <c r="F22" s="311">
        <f t="shared" si="0"/>
        <v>1.2440479857845892</v>
      </c>
    </row>
    <row r="23" spans="1:6" s="17" customFormat="1" ht="38.25" customHeight="1" x14ac:dyDescent="0.25">
      <c r="A23" s="74" t="s">
        <v>26</v>
      </c>
      <c r="B23" s="433" t="s">
        <v>469</v>
      </c>
      <c r="C23" s="425">
        <v>499.28432216699997</v>
      </c>
      <c r="D23" s="425">
        <v>519.18488935400001</v>
      </c>
      <c r="E23" s="219">
        <f t="shared" si="1"/>
        <v>1.5542131098757672</v>
      </c>
      <c r="F23" s="311">
        <f t="shared" si="0"/>
        <v>1.0398581856138149</v>
      </c>
    </row>
    <row r="24" spans="1:6" s="17" customFormat="1" ht="38.25" customHeight="1" x14ac:dyDescent="0.25">
      <c r="A24" s="74" t="s">
        <v>27</v>
      </c>
      <c r="B24" s="433" t="s">
        <v>470</v>
      </c>
      <c r="C24" s="425">
        <v>0</v>
      </c>
      <c r="D24" s="425">
        <v>509.04131701000011</v>
      </c>
      <c r="E24" s="219">
        <f t="shared" si="1"/>
        <v>1.5238476785211796</v>
      </c>
      <c r="F24" s="311" t="str">
        <f t="shared" si="0"/>
        <v>-</v>
      </c>
    </row>
  </sheetData>
  <mergeCells count="1">
    <mergeCell ref="A3:F3"/>
  </mergeCells>
  <phoneticPr fontId="8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21"/>
  <sheetViews>
    <sheetView showZeros="0" zoomScale="80" zoomScaleNormal="80" zoomScaleSheetLayoutView="85" zoomScalePageLayoutView="70" workbookViewId="0">
      <selection activeCell="K7" sqref="K7"/>
    </sheetView>
  </sheetViews>
  <sheetFormatPr defaultColWidth="9.85546875" defaultRowHeight="16.5" x14ac:dyDescent="0.25"/>
  <cols>
    <col min="1" max="1" width="5.85546875" style="246" customWidth="1"/>
    <col min="2" max="2" width="48.85546875" style="247" customWidth="1"/>
    <col min="3" max="5" width="15.5703125" style="247" customWidth="1"/>
    <col min="6" max="6" width="15.5703125" style="248" customWidth="1"/>
    <col min="7" max="7" width="19.7109375" style="249" customWidth="1"/>
    <col min="8" max="9" width="19" style="249" customWidth="1"/>
    <col min="10" max="16384" width="9.85546875" style="249"/>
  </cols>
  <sheetData>
    <row r="1" spans="1:12" x14ac:dyDescent="0.25">
      <c r="I1" s="250" t="s">
        <v>99</v>
      </c>
    </row>
    <row r="2" spans="1:12" ht="34.5" customHeight="1" x14ac:dyDescent="0.25">
      <c r="A2" s="564" t="s">
        <v>393</v>
      </c>
      <c r="B2" s="564"/>
      <c r="C2" s="564"/>
      <c r="D2" s="564"/>
      <c r="E2" s="564"/>
      <c r="F2" s="564"/>
      <c r="G2" s="564"/>
      <c r="H2" s="564"/>
      <c r="I2" s="564"/>
    </row>
    <row r="3" spans="1:12" ht="19.5" customHeight="1" thickBot="1" x14ac:dyDescent="0.3">
      <c r="A3" s="251"/>
      <c r="B3" s="252"/>
      <c r="C3" s="252"/>
      <c r="D3" s="252"/>
      <c r="E3" s="252"/>
      <c r="I3" s="253" t="s">
        <v>389</v>
      </c>
    </row>
    <row r="4" spans="1:12" ht="24.75" customHeight="1" x14ac:dyDescent="0.25">
      <c r="A4" s="565" t="s">
        <v>101</v>
      </c>
      <c r="B4" s="567" t="s">
        <v>394</v>
      </c>
      <c r="C4" s="567" t="s">
        <v>102</v>
      </c>
      <c r="D4" s="567" t="s">
        <v>103</v>
      </c>
      <c r="E4" s="567" t="s">
        <v>104</v>
      </c>
      <c r="F4" s="569" t="s">
        <v>105</v>
      </c>
      <c r="G4" s="571" t="s">
        <v>106</v>
      </c>
      <c r="H4" s="571"/>
      <c r="I4" s="572" t="s">
        <v>107</v>
      </c>
    </row>
    <row r="5" spans="1:12" s="256" customFormat="1" ht="39.75" customHeight="1" thickBot="1" x14ac:dyDescent="0.3">
      <c r="A5" s="566"/>
      <c r="B5" s="568"/>
      <c r="C5" s="568"/>
      <c r="D5" s="568"/>
      <c r="E5" s="568"/>
      <c r="F5" s="570"/>
      <c r="G5" s="254" t="s">
        <v>104</v>
      </c>
      <c r="H5" s="255" t="s">
        <v>108</v>
      </c>
      <c r="I5" s="573"/>
    </row>
    <row r="6" spans="1:12" s="256" customFormat="1" ht="9" customHeight="1" x14ac:dyDescent="0.25">
      <c r="A6" s="257"/>
      <c r="B6" s="257"/>
      <c r="C6" s="257"/>
      <c r="D6" s="257"/>
      <c r="E6" s="257"/>
      <c r="F6" s="258"/>
      <c r="G6" s="259"/>
      <c r="H6" s="259"/>
      <c r="I6" s="259"/>
    </row>
    <row r="7" spans="1:12" s="260" customFormat="1" ht="38.25" customHeight="1" x14ac:dyDescent="0.25">
      <c r="A7" s="434">
        <v>1</v>
      </c>
      <c r="B7" s="435" t="s">
        <v>109</v>
      </c>
      <c r="C7" s="436">
        <v>150</v>
      </c>
      <c r="D7" s="436">
        <v>53</v>
      </c>
      <c r="E7" s="436">
        <v>164.6</v>
      </c>
      <c r="F7" s="437">
        <f>IFERROR(E7/D7, "-")</f>
        <v>3.1056603773584905</v>
      </c>
      <c r="G7" s="436">
        <v>35</v>
      </c>
      <c r="H7" s="438">
        <f>+G7/D7</f>
        <v>0.660377358490566</v>
      </c>
      <c r="I7" s="439">
        <f>+I8+I9</f>
        <v>238</v>
      </c>
    </row>
    <row r="8" spans="1:12" s="266" customFormat="1" ht="38.25" customHeight="1" x14ac:dyDescent="0.25">
      <c r="A8" s="261" t="s">
        <v>110</v>
      </c>
      <c r="B8" s="262" t="s">
        <v>111</v>
      </c>
      <c r="C8" s="263">
        <v>15</v>
      </c>
      <c r="D8" s="263"/>
      <c r="E8" s="263">
        <v>77.900000000000006</v>
      </c>
      <c r="F8" s="264" t="str">
        <f t="shared" ref="F8:F21" si="0">IFERROR(E8/D8, "-")</f>
        <v>-</v>
      </c>
      <c r="G8" s="263"/>
      <c r="H8" s="263"/>
      <c r="I8" s="265">
        <f>+I12+I14+I19</f>
        <v>105</v>
      </c>
    </row>
    <row r="9" spans="1:12" s="266" customFormat="1" ht="38.25" customHeight="1" x14ac:dyDescent="0.25">
      <c r="A9" s="440" t="s">
        <v>112</v>
      </c>
      <c r="B9" s="441" t="s">
        <v>113</v>
      </c>
      <c r="C9" s="442">
        <v>135</v>
      </c>
      <c r="D9" s="442">
        <v>53</v>
      </c>
      <c r="E9" s="442">
        <v>86.7</v>
      </c>
      <c r="F9" s="443">
        <f t="shared" si="0"/>
        <v>1.6358490566037736</v>
      </c>
      <c r="G9" s="442">
        <v>35</v>
      </c>
      <c r="H9" s="444">
        <f>+G9/D9</f>
        <v>0.660377358490566</v>
      </c>
      <c r="I9" s="445">
        <f>+I15+I17+I20</f>
        <v>133</v>
      </c>
    </row>
    <row r="10" spans="1:12" s="266" customFormat="1" x14ac:dyDescent="0.25">
      <c r="A10" s="446"/>
      <c r="B10" s="560" t="s">
        <v>114</v>
      </c>
      <c r="C10" s="560"/>
      <c r="D10" s="560"/>
      <c r="E10" s="560"/>
      <c r="F10" s="560"/>
      <c r="G10" s="447"/>
      <c r="H10" s="447"/>
      <c r="I10" s="448"/>
    </row>
    <row r="11" spans="1:12" s="266" customFormat="1" ht="38.25" customHeight="1" x14ac:dyDescent="0.25">
      <c r="A11" s="561">
        <v>2</v>
      </c>
      <c r="B11" s="450" t="s">
        <v>115</v>
      </c>
      <c r="C11" s="451"/>
      <c r="D11" s="451"/>
      <c r="E11" s="451">
        <v>7.2</v>
      </c>
      <c r="F11" s="437" t="str">
        <f t="shared" si="0"/>
        <v>-</v>
      </c>
      <c r="G11" s="436"/>
      <c r="H11" s="436"/>
      <c r="I11" s="439">
        <v>70</v>
      </c>
    </row>
    <row r="12" spans="1:12" s="266" customFormat="1" ht="38.25" customHeight="1" x14ac:dyDescent="0.25">
      <c r="A12" s="562"/>
      <c r="B12" s="441" t="s">
        <v>111</v>
      </c>
      <c r="C12" s="442"/>
      <c r="D12" s="442"/>
      <c r="E12" s="442">
        <v>7.2</v>
      </c>
      <c r="F12" s="443" t="str">
        <f t="shared" si="0"/>
        <v>-</v>
      </c>
      <c r="G12" s="442"/>
      <c r="H12" s="442"/>
      <c r="I12" s="445">
        <v>70</v>
      </c>
    </row>
    <row r="13" spans="1:12" s="267" customFormat="1" ht="38.25" customHeight="1" x14ac:dyDescent="0.25">
      <c r="A13" s="561">
        <v>3</v>
      </c>
      <c r="B13" s="452" t="s">
        <v>116</v>
      </c>
      <c r="C13" s="451"/>
      <c r="D13" s="451">
        <v>50</v>
      </c>
      <c r="E13" s="451">
        <v>154.4</v>
      </c>
      <c r="F13" s="437">
        <f t="shared" si="0"/>
        <v>3.0880000000000001</v>
      </c>
      <c r="G13" s="451">
        <v>32</v>
      </c>
      <c r="H13" s="438">
        <f>+G13/D13</f>
        <v>0.64</v>
      </c>
      <c r="I13" s="453">
        <v>100</v>
      </c>
    </row>
    <row r="14" spans="1:12" s="266" customFormat="1" ht="38.25" customHeight="1" x14ac:dyDescent="0.25">
      <c r="A14" s="563"/>
      <c r="B14" s="262" t="s">
        <v>111</v>
      </c>
      <c r="C14" s="263"/>
      <c r="D14" s="263"/>
      <c r="E14" s="263">
        <v>70.7</v>
      </c>
      <c r="F14" s="264" t="str">
        <f t="shared" si="0"/>
        <v>-</v>
      </c>
      <c r="G14" s="268"/>
      <c r="H14" s="268"/>
      <c r="I14" s="269">
        <v>20</v>
      </c>
    </row>
    <row r="15" spans="1:12" s="266" customFormat="1" ht="38.25" customHeight="1" x14ac:dyDescent="0.25">
      <c r="A15" s="562"/>
      <c r="B15" s="441" t="s">
        <v>117</v>
      </c>
      <c r="C15" s="442"/>
      <c r="D15" s="442">
        <v>50</v>
      </c>
      <c r="E15" s="442">
        <v>83.7</v>
      </c>
      <c r="F15" s="443">
        <f t="shared" si="0"/>
        <v>1.6740000000000002</v>
      </c>
      <c r="G15" s="442">
        <v>32</v>
      </c>
      <c r="H15" s="454">
        <f>+G15/D15</f>
        <v>0.64</v>
      </c>
      <c r="I15" s="445">
        <v>80</v>
      </c>
      <c r="L15" s="249"/>
    </row>
    <row r="16" spans="1:12" ht="38.25" customHeight="1" x14ac:dyDescent="0.25">
      <c r="A16" s="561">
        <v>4</v>
      </c>
      <c r="B16" s="452" t="s">
        <v>118</v>
      </c>
      <c r="C16" s="455">
        <v>50</v>
      </c>
      <c r="D16" s="455">
        <v>3</v>
      </c>
      <c r="E16" s="455">
        <v>3</v>
      </c>
      <c r="F16" s="456">
        <f t="shared" si="0"/>
        <v>1</v>
      </c>
      <c r="G16" s="451">
        <v>3</v>
      </c>
      <c r="H16" s="438">
        <f>+G16/D16</f>
        <v>1</v>
      </c>
      <c r="I16" s="453">
        <v>10</v>
      </c>
    </row>
    <row r="17" spans="1:9" s="272" customFormat="1" ht="38.25" customHeight="1" x14ac:dyDescent="0.25">
      <c r="A17" s="562"/>
      <c r="B17" s="441" t="s">
        <v>119</v>
      </c>
      <c r="C17" s="457">
        <v>50</v>
      </c>
      <c r="D17" s="457">
        <v>3</v>
      </c>
      <c r="E17" s="457">
        <v>3</v>
      </c>
      <c r="F17" s="458">
        <f t="shared" si="0"/>
        <v>1</v>
      </c>
      <c r="G17" s="459"/>
      <c r="H17" s="459"/>
      <c r="I17" s="460">
        <v>10</v>
      </c>
    </row>
    <row r="18" spans="1:9" ht="57" customHeight="1" x14ac:dyDescent="0.25">
      <c r="A18" s="561">
        <v>5</v>
      </c>
      <c r="B18" s="465" t="s">
        <v>120</v>
      </c>
      <c r="C18" s="466">
        <v>100</v>
      </c>
      <c r="D18" s="467"/>
      <c r="E18" s="467"/>
      <c r="F18" s="468" t="str">
        <f t="shared" si="0"/>
        <v>-</v>
      </c>
      <c r="G18" s="436"/>
      <c r="H18" s="436"/>
      <c r="I18" s="439">
        <v>58</v>
      </c>
    </row>
    <row r="19" spans="1:9" s="272" customFormat="1" ht="38.25" customHeight="1" x14ac:dyDescent="0.25">
      <c r="A19" s="563"/>
      <c r="B19" s="262" t="s">
        <v>111</v>
      </c>
      <c r="C19" s="270">
        <v>15</v>
      </c>
      <c r="D19" s="270"/>
      <c r="E19" s="270"/>
      <c r="F19" s="271" t="str">
        <f t="shared" si="0"/>
        <v>-</v>
      </c>
      <c r="G19" s="268"/>
      <c r="H19" s="268"/>
      <c r="I19" s="269">
        <v>15</v>
      </c>
    </row>
    <row r="20" spans="1:9" s="272" customFormat="1" ht="38.25" customHeight="1" x14ac:dyDescent="0.25">
      <c r="A20" s="562"/>
      <c r="B20" s="441" t="s">
        <v>113</v>
      </c>
      <c r="C20" s="457">
        <v>85</v>
      </c>
      <c r="D20" s="457"/>
      <c r="E20" s="457"/>
      <c r="F20" s="458" t="str">
        <f t="shared" si="0"/>
        <v>-</v>
      </c>
      <c r="G20" s="459"/>
      <c r="H20" s="459"/>
      <c r="I20" s="460">
        <v>43</v>
      </c>
    </row>
    <row r="21" spans="1:9" ht="38.25" customHeight="1" x14ac:dyDescent="0.25">
      <c r="A21" s="461">
        <v>6</v>
      </c>
      <c r="B21" s="449" t="s">
        <v>121</v>
      </c>
      <c r="C21" s="462"/>
      <c r="D21" s="462"/>
      <c r="E21" s="462"/>
      <c r="F21" s="463" t="str">
        <f t="shared" si="0"/>
        <v>-</v>
      </c>
      <c r="G21" s="462"/>
      <c r="H21" s="462"/>
      <c r="I21" s="464"/>
    </row>
  </sheetData>
  <mergeCells count="14">
    <mergeCell ref="A2:I2"/>
    <mergeCell ref="A4:A5"/>
    <mergeCell ref="B4:B5"/>
    <mergeCell ref="C4:C5"/>
    <mergeCell ref="D4:D5"/>
    <mergeCell ref="E4:E5"/>
    <mergeCell ref="F4:F5"/>
    <mergeCell ref="G4:H4"/>
    <mergeCell ref="I4:I5"/>
    <mergeCell ref="B10:F10"/>
    <mergeCell ref="A11:A12"/>
    <mergeCell ref="A13:A15"/>
    <mergeCell ref="A16:A17"/>
    <mergeCell ref="A18:A20"/>
  </mergeCells>
  <conditionalFormatting sqref="B18">
    <cfRule type="duplicateValues" dxfId="0" priority="1"/>
  </conditionalFormatting>
  <printOptions horizontalCentered="1"/>
  <pageMargins left="0.23622047244094491" right="0.23622047244094491" top="0.35433070866141736" bottom="0.19685039370078741" header="0.23622047244094491" footer="0.23622047244094491"/>
  <pageSetup paperSize="9" scale="80" fitToHeight="10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8"/>
    <pageSetUpPr fitToPage="1"/>
  </sheetPr>
  <dimension ref="A1:O48"/>
  <sheetViews>
    <sheetView zoomScale="80" zoomScaleNormal="80" workbookViewId="0">
      <pane ySplit="5" topLeftCell="A6" activePane="bottomLeft" state="frozen"/>
      <selection pane="bottomLeft" activeCell="N6" sqref="N6"/>
    </sheetView>
  </sheetViews>
  <sheetFormatPr defaultRowHeight="14.25" x14ac:dyDescent="0.2"/>
  <cols>
    <col min="1" max="1" width="28.7109375" style="2" customWidth="1"/>
    <col min="2" max="4" width="13.85546875" style="2" customWidth="1"/>
    <col min="5" max="6" width="14.7109375" style="2" customWidth="1"/>
    <col min="7" max="8" width="14.5703125" style="9" customWidth="1"/>
    <col min="9" max="12" width="14.5703125" style="2" customWidth="1"/>
    <col min="13" max="16384" width="9.140625" style="2"/>
  </cols>
  <sheetData>
    <row r="1" spans="1:15" ht="15" x14ac:dyDescent="0.2">
      <c r="L1" s="51" t="s">
        <v>279</v>
      </c>
    </row>
    <row r="2" spans="1:15" ht="43.5" customHeight="1" x14ac:dyDescent="0.2">
      <c r="A2" s="556" t="s">
        <v>396</v>
      </c>
      <c r="B2" s="553"/>
      <c r="C2" s="553"/>
      <c r="D2" s="553"/>
      <c r="E2" s="553"/>
      <c r="F2" s="553"/>
      <c r="G2" s="559"/>
      <c r="H2" s="559"/>
      <c r="I2" s="553"/>
      <c r="J2" s="553"/>
      <c r="K2" s="553"/>
      <c r="L2" s="553"/>
    </row>
    <row r="3" spans="1:15" ht="18.75" thickBot="1" x14ac:dyDescent="0.25">
      <c r="A3" s="274"/>
      <c r="B3" s="274"/>
      <c r="C3" s="274"/>
      <c r="D3" s="274"/>
      <c r="E3" s="274"/>
      <c r="F3" s="274"/>
      <c r="G3" s="274"/>
      <c r="H3" s="274"/>
    </row>
    <row r="4" spans="1:15" s="277" customFormat="1" ht="35.25" customHeight="1" x14ac:dyDescent="0.2">
      <c r="A4" s="578" t="s">
        <v>153</v>
      </c>
      <c r="B4" s="580" t="s">
        <v>395</v>
      </c>
      <c r="C4" s="583" t="s">
        <v>156</v>
      </c>
      <c r="D4" s="585" t="s">
        <v>375</v>
      </c>
      <c r="E4" s="574" t="s">
        <v>88</v>
      </c>
      <c r="F4" s="575"/>
      <c r="G4" s="574" t="s">
        <v>482</v>
      </c>
      <c r="H4" s="576"/>
      <c r="I4" s="577"/>
      <c r="J4" s="582" t="s">
        <v>483</v>
      </c>
      <c r="K4" s="576"/>
      <c r="L4" s="576"/>
    </row>
    <row r="5" spans="1:15" s="278" customFormat="1" ht="42.75" customHeight="1" thickBot="1" x14ac:dyDescent="0.3">
      <c r="A5" s="579"/>
      <c r="B5" s="581"/>
      <c r="C5" s="584"/>
      <c r="D5" s="586"/>
      <c r="E5" s="423" t="s">
        <v>271</v>
      </c>
      <c r="F5" s="314" t="s">
        <v>375</v>
      </c>
      <c r="G5" s="315" t="s">
        <v>271</v>
      </c>
      <c r="H5" s="313" t="s">
        <v>156</v>
      </c>
      <c r="I5" s="314" t="s">
        <v>375</v>
      </c>
      <c r="J5" s="424" t="s">
        <v>271</v>
      </c>
      <c r="K5" s="313" t="s">
        <v>156</v>
      </c>
      <c r="L5" s="316" t="s">
        <v>375</v>
      </c>
      <c r="O5" s="279"/>
    </row>
    <row r="6" spans="1:15" s="39" customFormat="1" ht="33" customHeight="1" x14ac:dyDescent="0.25">
      <c r="A6" s="90" t="s">
        <v>271</v>
      </c>
      <c r="B6" s="533">
        <f>B7+B8</f>
        <v>3435</v>
      </c>
      <c r="C6" s="237">
        <f>C7+C8</f>
        <v>1</v>
      </c>
      <c r="D6" s="400">
        <f>IFERROR(B6/B29, "-")</f>
        <v>1.3211538461538461</v>
      </c>
      <c r="E6" s="500">
        <f>E7+E8</f>
        <v>53026</v>
      </c>
      <c r="F6" s="400">
        <f>IFERROR(E6/E29, "-")</f>
        <v>1.3719179322656594</v>
      </c>
      <c r="G6" s="224">
        <f>G7+G8</f>
        <v>33405.28177058899</v>
      </c>
      <c r="H6" s="237">
        <f>H7+H8</f>
        <v>1</v>
      </c>
      <c r="I6" s="400">
        <f>IFERROR(G6/G29, "-")</f>
        <v>1.6356456483814561</v>
      </c>
      <c r="J6" s="225">
        <f>J7+J8</f>
        <v>716.42956628599995</v>
      </c>
      <c r="K6" s="237">
        <f>K7+K8</f>
        <v>1</v>
      </c>
      <c r="L6" s="402">
        <f>IFERROR(J6/J29, "-")</f>
        <v>1.5359410515530929</v>
      </c>
    </row>
    <row r="7" spans="1:15" s="17" customFormat="1" ht="31.5" customHeight="1" x14ac:dyDescent="0.25">
      <c r="A7" s="41" t="s">
        <v>28</v>
      </c>
      <c r="B7" s="534">
        <v>2057</v>
      </c>
      <c r="C7" s="238">
        <f>B7/$B$6</f>
        <v>0.5988355167394469</v>
      </c>
      <c r="D7" s="401">
        <f t="shared" ref="D7:D23" si="0">IFERROR(B7/B30, "-")</f>
        <v>1.4069767441860466</v>
      </c>
      <c r="E7" s="227">
        <v>38684</v>
      </c>
      <c r="F7" s="401">
        <f t="shared" ref="F7:F23" si="1">IFERROR(E7/E30, "-")</f>
        <v>1.3338850384469501</v>
      </c>
      <c r="G7" s="228">
        <v>30040.584214759991</v>
      </c>
      <c r="H7" s="238">
        <f>G7/$G$6</f>
        <v>0.89927648032020557</v>
      </c>
      <c r="I7" s="401">
        <f t="shared" ref="I7:I23" si="2">IFERROR(G7/G30, "-")</f>
        <v>1.606207852020018</v>
      </c>
      <c r="J7" s="229">
        <v>558.9065297599999</v>
      </c>
      <c r="K7" s="238">
        <f>J7/$J$6</f>
        <v>0.7801276720856094</v>
      </c>
      <c r="L7" s="403">
        <f t="shared" ref="L7:L23" si="3">IFERROR(J7/J30, "-")</f>
        <v>1.4399392850987214</v>
      </c>
    </row>
    <row r="8" spans="1:15" s="17" customFormat="1" ht="31.5" customHeight="1" x14ac:dyDescent="0.25">
      <c r="A8" s="41" t="s">
        <v>282</v>
      </c>
      <c r="B8" s="534">
        <v>1378</v>
      </c>
      <c r="C8" s="238">
        <f t="shared" ref="C8:C23" si="4">B8/$B$6</f>
        <v>0.40116448326055315</v>
      </c>
      <c r="D8" s="401">
        <f t="shared" si="0"/>
        <v>1.210896309314587</v>
      </c>
      <c r="E8" s="227">
        <v>14342</v>
      </c>
      <c r="F8" s="401">
        <f t="shared" si="1"/>
        <v>1.4862176165803109</v>
      </c>
      <c r="G8" s="228">
        <v>3364.6975558289996</v>
      </c>
      <c r="H8" s="238">
        <f t="shared" ref="H8:H23" si="5">G8/$G$6</f>
        <v>0.10072351967979447</v>
      </c>
      <c r="I8" s="401">
        <f t="shared" si="2"/>
        <v>1.9556510060034871</v>
      </c>
      <c r="J8" s="229">
        <v>157.52303652600003</v>
      </c>
      <c r="K8" s="238">
        <f t="shared" ref="K8:K23" si="6">J8/$J$6</f>
        <v>0.21987232791439063</v>
      </c>
      <c r="L8" s="403">
        <f t="shared" si="3"/>
        <v>2.0118526967783144</v>
      </c>
    </row>
    <row r="9" spans="1:15" s="17" customFormat="1" ht="18.75" x14ac:dyDescent="0.25">
      <c r="A9" s="42" t="s">
        <v>114</v>
      </c>
      <c r="B9" s="534"/>
      <c r="C9" s="238"/>
      <c r="D9" s="401"/>
      <c r="E9" s="231"/>
      <c r="F9" s="401"/>
      <c r="G9" s="232"/>
      <c r="H9" s="238"/>
      <c r="I9" s="401"/>
      <c r="J9" s="233"/>
      <c r="K9" s="238"/>
      <c r="L9" s="403"/>
    </row>
    <row r="10" spans="1:15" s="17" customFormat="1" ht="31.5" customHeight="1" x14ac:dyDescent="0.25">
      <c r="A10" s="43" t="s">
        <v>373</v>
      </c>
      <c r="B10" s="534">
        <v>105</v>
      </c>
      <c r="C10" s="238">
        <f t="shared" si="4"/>
        <v>3.0567685589519649E-2</v>
      </c>
      <c r="D10" s="401">
        <f t="shared" si="0"/>
        <v>0.88235294117647056</v>
      </c>
      <c r="E10" s="227">
        <v>1574</v>
      </c>
      <c r="F10" s="401">
        <f t="shared" si="1"/>
        <v>3.5936073059360729</v>
      </c>
      <c r="G10" s="228">
        <v>174.82592897700002</v>
      </c>
      <c r="H10" s="238">
        <f t="shared" si="5"/>
        <v>5.2334816445380799E-3</v>
      </c>
      <c r="I10" s="401">
        <f t="shared" si="2"/>
        <v>3.6728136339705886</v>
      </c>
      <c r="J10" s="229">
        <v>7.0670406799999999</v>
      </c>
      <c r="K10" s="238">
        <f t="shared" si="6"/>
        <v>9.8642504616829624E-3</v>
      </c>
      <c r="L10" s="403">
        <f t="shared" si="3"/>
        <v>2.8232025727069354</v>
      </c>
    </row>
    <row r="11" spans="1:15" s="17" customFormat="1" ht="31.5" customHeight="1" x14ac:dyDescent="0.25">
      <c r="A11" s="44" t="s">
        <v>284</v>
      </c>
      <c r="B11" s="534">
        <v>96</v>
      </c>
      <c r="C11" s="238">
        <f t="shared" si="4"/>
        <v>2.794759825327511E-2</v>
      </c>
      <c r="D11" s="401">
        <f t="shared" si="0"/>
        <v>1.4328358208955223</v>
      </c>
      <c r="E11" s="227">
        <v>1415</v>
      </c>
      <c r="F11" s="401">
        <f t="shared" si="1"/>
        <v>1.6006787330316743</v>
      </c>
      <c r="G11" s="228">
        <v>445.88910758200001</v>
      </c>
      <c r="H11" s="238">
        <f t="shared" si="5"/>
        <v>1.3347862492049809E-2</v>
      </c>
      <c r="I11" s="401">
        <f t="shared" si="2"/>
        <v>2.4037148656711591</v>
      </c>
      <c r="J11" s="229">
        <v>25.960453620000003</v>
      </c>
      <c r="K11" s="238">
        <f t="shared" si="6"/>
        <v>3.6235876967752816E-2</v>
      </c>
      <c r="L11" s="403">
        <f t="shared" si="3"/>
        <v>2.0221571599937689</v>
      </c>
    </row>
    <row r="12" spans="1:15" s="17" customFormat="1" ht="31.5" customHeight="1" x14ac:dyDescent="0.25">
      <c r="A12" s="44" t="s">
        <v>285</v>
      </c>
      <c r="B12" s="534">
        <v>67</v>
      </c>
      <c r="C12" s="238">
        <f t="shared" si="4"/>
        <v>1.9505094614264921E-2</v>
      </c>
      <c r="D12" s="401">
        <f t="shared" si="0"/>
        <v>1.1551724137931034</v>
      </c>
      <c r="E12" s="227">
        <v>636</v>
      </c>
      <c r="F12" s="401">
        <f t="shared" si="1"/>
        <v>1.3978021978021977</v>
      </c>
      <c r="G12" s="228">
        <v>134.03739742800002</v>
      </c>
      <c r="H12" s="238">
        <f t="shared" si="5"/>
        <v>4.0124612134243556E-3</v>
      </c>
      <c r="I12" s="401">
        <f t="shared" si="2"/>
        <v>2.2414280506354518</v>
      </c>
      <c r="J12" s="229">
        <v>7.6985636080000006</v>
      </c>
      <c r="K12" s="238">
        <f t="shared" si="6"/>
        <v>1.074573687391165E-2</v>
      </c>
      <c r="L12" s="403">
        <f t="shared" si="3"/>
        <v>2.1010790120356981</v>
      </c>
    </row>
    <row r="13" spans="1:15" s="17" customFormat="1" ht="31.5" customHeight="1" x14ac:dyDescent="0.25">
      <c r="A13" s="44" t="s">
        <v>286</v>
      </c>
      <c r="B13" s="534">
        <v>65</v>
      </c>
      <c r="C13" s="238">
        <f t="shared" si="4"/>
        <v>1.8922852983988356E-2</v>
      </c>
      <c r="D13" s="401">
        <f t="shared" si="0"/>
        <v>1.0483870967741935</v>
      </c>
      <c r="E13" s="227">
        <v>382</v>
      </c>
      <c r="F13" s="401">
        <f t="shared" si="1"/>
        <v>1.2993197278911566</v>
      </c>
      <c r="G13" s="228">
        <v>148.94693218999998</v>
      </c>
      <c r="H13" s="238">
        <f t="shared" si="5"/>
        <v>4.4587838897122345E-3</v>
      </c>
      <c r="I13" s="401">
        <f t="shared" si="2"/>
        <v>2.3200456727414327</v>
      </c>
      <c r="J13" s="229">
        <v>9.5503912159999995</v>
      </c>
      <c r="K13" s="238">
        <f t="shared" si="6"/>
        <v>1.3330537523052848E-2</v>
      </c>
      <c r="L13" s="403">
        <f t="shared" si="3"/>
        <v>2.3024086827386694</v>
      </c>
    </row>
    <row r="14" spans="1:15" s="17" customFormat="1" ht="31.5" customHeight="1" x14ac:dyDescent="0.25">
      <c r="A14" s="44" t="s">
        <v>287</v>
      </c>
      <c r="B14" s="534">
        <v>67</v>
      </c>
      <c r="C14" s="238">
        <f t="shared" si="4"/>
        <v>1.9505094614264921E-2</v>
      </c>
      <c r="D14" s="401">
        <f t="shared" si="0"/>
        <v>1.0307692307692307</v>
      </c>
      <c r="E14" s="227">
        <v>666</v>
      </c>
      <c r="F14" s="401">
        <f t="shared" si="1"/>
        <v>1.3033268101761253</v>
      </c>
      <c r="G14" s="228">
        <v>78.671512089999993</v>
      </c>
      <c r="H14" s="238">
        <f t="shared" si="5"/>
        <v>2.3550620716291863E-3</v>
      </c>
      <c r="I14" s="401">
        <f t="shared" si="2"/>
        <v>1.1992608550304877</v>
      </c>
      <c r="J14" s="229">
        <v>2.4738601899999999</v>
      </c>
      <c r="K14" s="238">
        <f t="shared" si="6"/>
        <v>3.4530403355972476E-3</v>
      </c>
      <c r="L14" s="403">
        <f t="shared" si="3"/>
        <v>1.0039609553183719</v>
      </c>
    </row>
    <row r="15" spans="1:15" s="17" customFormat="1" ht="31.5" customHeight="1" x14ac:dyDescent="0.25">
      <c r="A15" s="44" t="s">
        <v>288</v>
      </c>
      <c r="B15" s="534">
        <v>53</v>
      </c>
      <c r="C15" s="238">
        <f t="shared" si="4"/>
        <v>1.5429403202328967E-2</v>
      </c>
      <c r="D15" s="401">
        <f t="shared" si="0"/>
        <v>0.98148148148148151</v>
      </c>
      <c r="E15" s="227">
        <v>423</v>
      </c>
      <c r="F15" s="401">
        <f t="shared" si="1"/>
        <v>1.5962264150943397</v>
      </c>
      <c r="G15" s="228">
        <v>88.269268493000013</v>
      </c>
      <c r="H15" s="238">
        <f t="shared" si="5"/>
        <v>2.6423746130683715E-3</v>
      </c>
      <c r="I15" s="401">
        <f t="shared" si="2"/>
        <v>1.0738353831265208</v>
      </c>
      <c r="J15" s="229">
        <v>3.8240542070000001</v>
      </c>
      <c r="K15" s="238">
        <f t="shared" si="6"/>
        <v>5.3376554890441682E-3</v>
      </c>
      <c r="L15" s="403">
        <f t="shared" si="3"/>
        <v>1.0780182693879852</v>
      </c>
    </row>
    <row r="16" spans="1:15" s="17" customFormat="1" ht="31.5" customHeight="1" x14ac:dyDescent="0.25">
      <c r="A16" s="44" t="s">
        <v>289</v>
      </c>
      <c r="B16" s="534">
        <v>77</v>
      </c>
      <c r="C16" s="238">
        <f t="shared" si="4"/>
        <v>2.2416302765647742E-2</v>
      </c>
      <c r="D16" s="401">
        <f t="shared" si="0"/>
        <v>1.1492537313432836</v>
      </c>
      <c r="E16" s="227">
        <v>481</v>
      </c>
      <c r="F16" s="401">
        <f t="shared" si="1"/>
        <v>1.1082949308755761</v>
      </c>
      <c r="G16" s="228">
        <v>63.815586041000003</v>
      </c>
      <c r="H16" s="238">
        <f t="shared" si="5"/>
        <v>1.9103441928511183E-3</v>
      </c>
      <c r="I16" s="401">
        <f t="shared" si="2"/>
        <v>1.1436484953584229</v>
      </c>
      <c r="J16" s="229">
        <v>2.1908043400000001</v>
      </c>
      <c r="K16" s="238">
        <f t="shared" si="6"/>
        <v>3.0579479729699308E-3</v>
      </c>
      <c r="L16" s="403">
        <f t="shared" si="3"/>
        <v>0.94480090564084873</v>
      </c>
    </row>
    <row r="17" spans="1:12" s="17" customFormat="1" ht="31.5" customHeight="1" x14ac:dyDescent="0.25">
      <c r="A17" s="44" t="s">
        <v>290</v>
      </c>
      <c r="B17" s="534">
        <v>192</v>
      </c>
      <c r="C17" s="238">
        <f t="shared" si="4"/>
        <v>5.589519650655022E-2</v>
      </c>
      <c r="D17" s="401">
        <f t="shared" si="0"/>
        <v>1.3617021276595744</v>
      </c>
      <c r="E17" s="227">
        <v>2170</v>
      </c>
      <c r="F17" s="401">
        <f t="shared" si="1"/>
        <v>1.3742875237492083</v>
      </c>
      <c r="G17" s="228">
        <v>404.15659644799996</v>
      </c>
      <c r="H17" s="238">
        <f t="shared" si="5"/>
        <v>1.2098583667802842E-2</v>
      </c>
      <c r="I17" s="401">
        <f t="shared" si="2"/>
        <v>2.0207829822399996</v>
      </c>
      <c r="J17" s="229">
        <v>19.852510683000002</v>
      </c>
      <c r="K17" s="238">
        <f t="shared" si="6"/>
        <v>2.7710345325244218E-2</v>
      </c>
      <c r="L17" s="403">
        <f t="shared" si="3"/>
        <v>1.8869593554733914</v>
      </c>
    </row>
    <row r="18" spans="1:12" s="17" customFormat="1" ht="31.5" customHeight="1" x14ac:dyDescent="0.25">
      <c r="A18" s="44" t="s">
        <v>291</v>
      </c>
      <c r="B18" s="534">
        <v>76</v>
      </c>
      <c r="C18" s="238">
        <f t="shared" si="4"/>
        <v>2.212518195050946E-2</v>
      </c>
      <c r="D18" s="401">
        <f t="shared" si="0"/>
        <v>1.2258064516129032</v>
      </c>
      <c r="E18" s="227">
        <v>587</v>
      </c>
      <c r="F18" s="401">
        <f t="shared" si="1"/>
        <v>2.2576923076923077</v>
      </c>
      <c r="G18" s="228">
        <v>136.525746457</v>
      </c>
      <c r="H18" s="238">
        <f t="shared" si="5"/>
        <v>4.0869509017942588E-3</v>
      </c>
      <c r="I18" s="401">
        <f t="shared" si="2"/>
        <v>1.7570881139897039</v>
      </c>
      <c r="J18" s="229">
        <v>3.3341204429999998</v>
      </c>
      <c r="K18" s="238">
        <f t="shared" si="6"/>
        <v>4.6538007361759453E-3</v>
      </c>
      <c r="L18" s="403">
        <f t="shared" si="3"/>
        <v>1.0602685374928449</v>
      </c>
    </row>
    <row r="19" spans="1:12" s="17" customFormat="1" ht="31.5" customHeight="1" x14ac:dyDescent="0.25">
      <c r="A19" s="44" t="s">
        <v>292</v>
      </c>
      <c r="B19" s="534">
        <v>66</v>
      </c>
      <c r="C19" s="238">
        <f t="shared" si="4"/>
        <v>1.9213973799126639E-2</v>
      </c>
      <c r="D19" s="401">
        <f t="shared" si="0"/>
        <v>1.2</v>
      </c>
      <c r="E19" s="227">
        <v>480</v>
      </c>
      <c r="F19" s="401">
        <f t="shared" si="1"/>
        <v>1.1428571428571428</v>
      </c>
      <c r="G19" s="228">
        <v>52.543517113999997</v>
      </c>
      <c r="H19" s="238">
        <f t="shared" si="5"/>
        <v>1.5729104599339402E-3</v>
      </c>
      <c r="I19" s="401">
        <f t="shared" si="2"/>
        <v>1.3335918049238578</v>
      </c>
      <c r="J19" s="229">
        <v>2.2682576020000003</v>
      </c>
      <c r="K19" s="238">
        <f t="shared" si="6"/>
        <v>3.1660580589362611E-3</v>
      </c>
      <c r="L19" s="403">
        <f t="shared" si="3"/>
        <v>1.2380642988919821</v>
      </c>
    </row>
    <row r="20" spans="1:12" s="17" customFormat="1" ht="31.5" customHeight="1" x14ac:dyDescent="0.25">
      <c r="A20" s="44" t="s">
        <v>293</v>
      </c>
      <c r="B20" s="534">
        <v>193</v>
      </c>
      <c r="C20" s="238">
        <f t="shared" si="4"/>
        <v>5.6186317321688502E-2</v>
      </c>
      <c r="D20" s="401">
        <f t="shared" si="0"/>
        <v>1.4087591240875912</v>
      </c>
      <c r="E20" s="227">
        <v>1722</v>
      </c>
      <c r="F20" s="401">
        <f t="shared" si="1"/>
        <v>1.5065616797900263</v>
      </c>
      <c r="G20" s="228">
        <v>796.63088151399995</v>
      </c>
      <c r="H20" s="238">
        <f t="shared" si="5"/>
        <v>2.3847452836496582E-2</v>
      </c>
      <c r="I20" s="401">
        <f t="shared" si="2"/>
        <v>2.5516684225304291</v>
      </c>
      <c r="J20" s="229">
        <v>34.549200817000006</v>
      </c>
      <c r="K20" s="238">
        <f t="shared" si="6"/>
        <v>4.8224141552538749E-2</v>
      </c>
      <c r="L20" s="403">
        <f t="shared" si="3"/>
        <v>3.4239334836727622</v>
      </c>
    </row>
    <row r="21" spans="1:12" s="17" customFormat="1" ht="31.5" customHeight="1" x14ac:dyDescent="0.25">
      <c r="A21" s="44" t="s">
        <v>294</v>
      </c>
      <c r="B21" s="534">
        <v>139</v>
      </c>
      <c r="C21" s="238">
        <f t="shared" si="4"/>
        <v>4.0465793304221252E-2</v>
      </c>
      <c r="D21" s="401">
        <f t="shared" si="0"/>
        <v>1.3495145631067962</v>
      </c>
      <c r="E21" s="227">
        <v>1917</v>
      </c>
      <c r="F21" s="401">
        <f t="shared" si="1"/>
        <v>1.425278810408922</v>
      </c>
      <c r="G21" s="228">
        <v>429.44487463899998</v>
      </c>
      <c r="H21" s="238">
        <f t="shared" si="5"/>
        <v>1.2855598033515049E-2</v>
      </c>
      <c r="I21" s="401">
        <f t="shared" si="2"/>
        <v>2.6640500908126552</v>
      </c>
      <c r="J21" s="229">
        <v>22.769730490000001</v>
      </c>
      <c r="K21" s="238">
        <f t="shared" si="6"/>
        <v>3.1782231724521381E-2</v>
      </c>
      <c r="L21" s="403">
        <f t="shared" si="3"/>
        <v>3.767328009596294</v>
      </c>
    </row>
    <row r="22" spans="1:12" s="17" customFormat="1" ht="31.5" customHeight="1" x14ac:dyDescent="0.25">
      <c r="A22" s="44" t="s">
        <v>295</v>
      </c>
      <c r="B22" s="534">
        <v>112</v>
      </c>
      <c r="C22" s="238">
        <f t="shared" si="4"/>
        <v>3.2605531295487628E-2</v>
      </c>
      <c r="D22" s="401">
        <f t="shared" si="0"/>
        <v>1.3176470588235294</v>
      </c>
      <c r="E22" s="227">
        <v>1039</v>
      </c>
      <c r="F22" s="401">
        <f t="shared" si="1"/>
        <v>1.2987500000000001</v>
      </c>
      <c r="G22" s="228">
        <v>239.66920685600002</v>
      </c>
      <c r="H22" s="238">
        <f t="shared" si="5"/>
        <v>7.1745901891182955E-3</v>
      </c>
      <c r="I22" s="401">
        <f t="shared" si="2"/>
        <v>1.1823838522742971</v>
      </c>
      <c r="J22" s="229">
        <v>4.6600886300000006</v>
      </c>
      <c r="K22" s="238">
        <f t="shared" si="6"/>
        <v>6.5046012187326245E-3</v>
      </c>
      <c r="L22" s="403">
        <f t="shared" si="3"/>
        <v>0.9822292871595989</v>
      </c>
    </row>
    <row r="23" spans="1:12" s="17" customFormat="1" ht="31.5" customHeight="1" x14ac:dyDescent="0.25">
      <c r="A23" s="44" t="s">
        <v>296</v>
      </c>
      <c r="B23" s="534">
        <v>70</v>
      </c>
      <c r="C23" s="238">
        <f t="shared" si="4"/>
        <v>2.0378457059679767E-2</v>
      </c>
      <c r="D23" s="401">
        <f t="shared" si="0"/>
        <v>1.1111111111111112</v>
      </c>
      <c r="E23" s="227">
        <v>850</v>
      </c>
      <c r="F23" s="401">
        <f t="shared" si="1"/>
        <v>1.0340632603406326</v>
      </c>
      <c r="G23" s="228">
        <v>171.27100000000002</v>
      </c>
      <c r="H23" s="238">
        <f t="shared" si="5"/>
        <v>5.1270634738603557E-3</v>
      </c>
      <c r="I23" s="401">
        <f t="shared" si="2"/>
        <v>1.0280372148859545</v>
      </c>
      <c r="J23" s="229">
        <v>11.32396</v>
      </c>
      <c r="K23" s="238">
        <f t="shared" si="6"/>
        <v>1.5806103674229792E-2</v>
      </c>
      <c r="L23" s="403">
        <f t="shared" si="3"/>
        <v>1.0849302994011976</v>
      </c>
    </row>
    <row r="28" spans="1:12" ht="21" thickBot="1" x14ac:dyDescent="0.25">
      <c r="A28" s="380" t="s">
        <v>397</v>
      </c>
    </row>
    <row r="29" spans="1:12" ht="18" x14ac:dyDescent="0.2">
      <c r="A29" s="90" t="s">
        <v>280</v>
      </c>
      <c r="B29" s="378">
        <f>B30+B31</f>
        <v>2600</v>
      </c>
      <c r="C29" s="404"/>
      <c r="D29" s="404"/>
      <c r="E29" s="378">
        <f>E30+E31</f>
        <v>38651</v>
      </c>
      <c r="F29" s="404"/>
      <c r="G29" s="378">
        <f>G30+G31</f>
        <v>20423.3</v>
      </c>
      <c r="H29" s="372"/>
      <c r="I29" s="404"/>
      <c r="J29" s="378">
        <v>466.4434</v>
      </c>
      <c r="K29" s="372"/>
    </row>
    <row r="30" spans="1:12" ht="18" x14ac:dyDescent="0.2">
      <c r="A30" s="41" t="s">
        <v>281</v>
      </c>
      <c r="B30" s="379">
        <v>1462</v>
      </c>
      <c r="C30" s="405"/>
      <c r="D30" s="405"/>
      <c r="E30" s="379">
        <v>29001</v>
      </c>
      <c r="F30" s="405"/>
      <c r="G30" s="379">
        <v>18702.8</v>
      </c>
      <c r="H30" s="371"/>
      <c r="I30" s="405"/>
      <c r="J30" s="379">
        <v>388.14590000000004</v>
      </c>
      <c r="K30" s="371"/>
    </row>
    <row r="31" spans="1:12" ht="18" x14ac:dyDescent="0.2">
      <c r="A31" s="41" t="s">
        <v>282</v>
      </c>
      <c r="B31" s="379">
        <f>SUM(B33:B46)</f>
        <v>1138</v>
      </c>
      <c r="C31" s="405"/>
      <c r="D31" s="405"/>
      <c r="E31" s="379">
        <f>SUM(E33:E46)</f>
        <v>9650</v>
      </c>
      <c r="F31" s="405"/>
      <c r="G31" s="379">
        <f>SUM(G33:G46)</f>
        <v>1720.5</v>
      </c>
      <c r="H31" s="371"/>
      <c r="I31" s="405"/>
      <c r="J31" s="379">
        <v>78.297499999999985</v>
      </c>
      <c r="K31" s="371"/>
    </row>
    <row r="32" spans="1:12" ht="18.75" x14ac:dyDescent="0.2">
      <c r="A32" s="42" t="s">
        <v>114</v>
      </c>
      <c r="B32" s="379"/>
      <c r="C32" s="405"/>
      <c r="D32" s="405"/>
      <c r="E32" s="379"/>
      <c r="F32" s="405"/>
      <c r="G32" s="379"/>
      <c r="H32" s="371"/>
      <c r="I32" s="405"/>
      <c r="J32" s="379"/>
      <c r="K32" s="371"/>
    </row>
    <row r="33" spans="1:11" ht="33" x14ac:dyDescent="0.2">
      <c r="A33" s="43" t="s">
        <v>283</v>
      </c>
      <c r="B33" s="379">
        <v>119</v>
      </c>
      <c r="C33" s="405"/>
      <c r="D33" s="405"/>
      <c r="E33" s="379">
        <v>438</v>
      </c>
      <c r="F33" s="405"/>
      <c r="G33" s="379">
        <v>47.6</v>
      </c>
      <c r="H33" s="371"/>
      <c r="I33" s="405"/>
      <c r="J33" s="379">
        <v>2.5031999999999996</v>
      </c>
      <c r="K33" s="371"/>
    </row>
    <row r="34" spans="1:11" ht="18" x14ac:dyDescent="0.2">
      <c r="A34" s="44" t="s">
        <v>284</v>
      </c>
      <c r="B34" s="379">
        <v>67</v>
      </c>
      <c r="C34" s="405"/>
      <c r="D34" s="405"/>
      <c r="E34" s="379">
        <v>884</v>
      </c>
      <c r="F34" s="405"/>
      <c r="G34" s="379">
        <v>185.5</v>
      </c>
      <c r="H34" s="371"/>
      <c r="I34" s="405"/>
      <c r="J34" s="379">
        <v>12.837999999999999</v>
      </c>
      <c r="K34" s="371"/>
    </row>
    <row r="35" spans="1:11" ht="18" x14ac:dyDescent="0.2">
      <c r="A35" s="44" t="s">
        <v>285</v>
      </c>
      <c r="B35" s="379">
        <v>58</v>
      </c>
      <c r="C35" s="405"/>
      <c r="D35" s="405"/>
      <c r="E35" s="379">
        <v>455</v>
      </c>
      <c r="F35" s="405"/>
      <c r="G35" s="379">
        <v>59.8</v>
      </c>
      <c r="H35" s="371"/>
      <c r="I35" s="405"/>
      <c r="J35" s="379">
        <v>3.6640999999999999</v>
      </c>
      <c r="K35" s="371"/>
    </row>
    <row r="36" spans="1:11" ht="18" x14ac:dyDescent="0.2">
      <c r="A36" s="44" t="s">
        <v>286</v>
      </c>
      <c r="B36" s="379">
        <v>62</v>
      </c>
      <c r="C36" s="405"/>
      <c r="D36" s="405"/>
      <c r="E36" s="379">
        <v>294</v>
      </c>
      <c r="F36" s="405"/>
      <c r="G36" s="379">
        <v>64.2</v>
      </c>
      <c r="H36" s="371"/>
      <c r="I36" s="405"/>
      <c r="J36" s="379">
        <v>4.1479999999999997</v>
      </c>
      <c r="K36" s="371"/>
    </row>
    <row r="37" spans="1:11" ht="18" x14ac:dyDescent="0.2">
      <c r="A37" s="44" t="s">
        <v>287</v>
      </c>
      <c r="B37" s="379">
        <v>65</v>
      </c>
      <c r="C37" s="405"/>
      <c r="D37" s="405"/>
      <c r="E37" s="379">
        <v>511</v>
      </c>
      <c r="F37" s="405"/>
      <c r="G37" s="379">
        <v>65.599999999999994</v>
      </c>
      <c r="H37" s="371"/>
      <c r="I37" s="405"/>
      <c r="J37" s="379">
        <v>2.4640999999999997</v>
      </c>
      <c r="K37" s="371"/>
    </row>
    <row r="38" spans="1:11" ht="18" x14ac:dyDescent="0.2">
      <c r="A38" s="44" t="s">
        <v>288</v>
      </c>
      <c r="B38" s="379">
        <v>54</v>
      </c>
      <c r="C38" s="405"/>
      <c r="D38" s="405"/>
      <c r="E38" s="379">
        <v>265</v>
      </c>
      <c r="F38" s="405"/>
      <c r="G38" s="379">
        <v>82.2</v>
      </c>
      <c r="H38" s="371"/>
      <c r="I38" s="405"/>
      <c r="J38" s="379">
        <v>3.5473000000000003</v>
      </c>
      <c r="K38" s="371"/>
    </row>
    <row r="39" spans="1:11" ht="18" x14ac:dyDescent="0.2">
      <c r="A39" s="44" t="s">
        <v>289</v>
      </c>
      <c r="B39" s="379">
        <v>67</v>
      </c>
      <c r="C39" s="405"/>
      <c r="D39" s="405"/>
      <c r="E39" s="379">
        <v>434</v>
      </c>
      <c r="F39" s="405"/>
      <c r="G39" s="379">
        <v>55.8</v>
      </c>
      <c r="H39" s="371"/>
      <c r="I39" s="405"/>
      <c r="J39" s="379">
        <v>2.3188</v>
      </c>
      <c r="K39" s="371"/>
    </row>
    <row r="40" spans="1:11" ht="18" x14ac:dyDescent="0.2">
      <c r="A40" s="44" t="s">
        <v>290</v>
      </c>
      <c r="B40" s="379">
        <v>141</v>
      </c>
      <c r="C40" s="405"/>
      <c r="D40" s="405"/>
      <c r="E40" s="379">
        <v>1579</v>
      </c>
      <c r="F40" s="405"/>
      <c r="G40" s="379">
        <v>200</v>
      </c>
      <c r="H40" s="371"/>
      <c r="I40" s="405"/>
      <c r="J40" s="379">
        <v>10.520899999999999</v>
      </c>
      <c r="K40" s="371"/>
    </row>
    <row r="41" spans="1:11" ht="18" x14ac:dyDescent="0.2">
      <c r="A41" s="44" t="s">
        <v>291</v>
      </c>
      <c r="B41" s="379">
        <v>62</v>
      </c>
      <c r="C41" s="405"/>
      <c r="D41" s="405"/>
      <c r="E41" s="379">
        <v>260</v>
      </c>
      <c r="F41" s="405"/>
      <c r="G41" s="379">
        <v>77.7</v>
      </c>
      <c r="H41" s="371"/>
      <c r="I41" s="405"/>
      <c r="J41" s="379">
        <v>3.1446000000000001</v>
      </c>
      <c r="K41" s="371"/>
    </row>
    <row r="42" spans="1:11" ht="18" x14ac:dyDescent="0.2">
      <c r="A42" s="44" t="s">
        <v>292</v>
      </c>
      <c r="B42" s="379">
        <v>55</v>
      </c>
      <c r="C42" s="405"/>
      <c r="D42" s="405"/>
      <c r="E42" s="379">
        <v>420</v>
      </c>
      <c r="F42" s="405"/>
      <c r="G42" s="379">
        <v>39.4</v>
      </c>
      <c r="H42" s="371"/>
      <c r="I42" s="405"/>
      <c r="J42" s="379">
        <v>1.8320999999999998</v>
      </c>
      <c r="K42" s="371"/>
    </row>
    <row r="43" spans="1:11" ht="18" x14ac:dyDescent="0.2">
      <c r="A43" s="44" t="s">
        <v>293</v>
      </c>
      <c r="B43" s="379">
        <v>137</v>
      </c>
      <c r="C43" s="405"/>
      <c r="D43" s="405"/>
      <c r="E43" s="379">
        <v>1143</v>
      </c>
      <c r="F43" s="405"/>
      <c r="G43" s="379">
        <v>312.2</v>
      </c>
      <c r="H43" s="371"/>
      <c r="I43" s="405"/>
      <c r="J43" s="379">
        <v>10.0905</v>
      </c>
      <c r="K43" s="371"/>
    </row>
    <row r="44" spans="1:11" ht="18" x14ac:dyDescent="0.2">
      <c r="A44" s="44" t="s">
        <v>294</v>
      </c>
      <c r="B44" s="379">
        <v>103</v>
      </c>
      <c r="C44" s="405"/>
      <c r="D44" s="405"/>
      <c r="E44" s="379">
        <v>1345</v>
      </c>
      <c r="F44" s="405"/>
      <c r="G44" s="379">
        <v>161.19999999999999</v>
      </c>
      <c r="H44" s="371"/>
      <c r="I44" s="405"/>
      <c r="J44" s="379">
        <v>6.0439999999999996</v>
      </c>
      <c r="K44" s="371"/>
    </row>
    <row r="45" spans="1:11" ht="18" x14ac:dyDescent="0.2">
      <c r="A45" s="44" t="s">
        <v>295</v>
      </c>
      <c r="B45" s="379">
        <v>85</v>
      </c>
      <c r="C45" s="405"/>
      <c r="D45" s="405"/>
      <c r="E45" s="379">
        <v>800</v>
      </c>
      <c r="F45" s="405"/>
      <c r="G45" s="379">
        <v>202.7</v>
      </c>
      <c r="H45" s="371"/>
      <c r="I45" s="405"/>
      <c r="J45" s="379">
        <v>4.7443999999999997</v>
      </c>
      <c r="K45" s="371"/>
    </row>
    <row r="46" spans="1:11" ht="18" x14ac:dyDescent="0.2">
      <c r="A46" s="44" t="s">
        <v>296</v>
      </c>
      <c r="B46" s="379">
        <v>63</v>
      </c>
      <c r="C46" s="405"/>
      <c r="D46" s="405"/>
      <c r="E46" s="379">
        <v>822</v>
      </c>
      <c r="F46" s="405"/>
      <c r="G46" s="379">
        <v>166.6</v>
      </c>
      <c r="H46" s="371"/>
      <c r="I46" s="405"/>
      <c r="J46" s="379">
        <v>10.4375</v>
      </c>
      <c r="K46" s="371"/>
    </row>
    <row r="47" spans="1:11" x14ac:dyDescent="0.2">
      <c r="B47" s="187"/>
      <c r="C47" s="187"/>
      <c r="D47" s="187"/>
      <c r="E47" s="187"/>
      <c r="F47" s="187"/>
      <c r="G47" s="406"/>
      <c r="H47" s="406"/>
      <c r="I47" s="187"/>
      <c r="J47" s="187"/>
      <c r="K47" s="187"/>
    </row>
    <row r="48" spans="1:11" x14ac:dyDescent="0.2">
      <c r="B48" s="187"/>
      <c r="C48" s="187"/>
      <c r="D48" s="187"/>
      <c r="E48" s="187"/>
      <c r="F48" s="187"/>
      <c r="G48" s="406"/>
      <c r="H48" s="406"/>
      <c r="I48" s="187"/>
      <c r="J48" s="187"/>
      <c r="K48" s="187"/>
    </row>
  </sheetData>
  <mergeCells count="8">
    <mergeCell ref="A2:L2"/>
    <mergeCell ref="E4:F4"/>
    <mergeCell ref="G4:I4"/>
    <mergeCell ref="A4:A5"/>
    <mergeCell ref="B4:B5"/>
    <mergeCell ref="J4:L4"/>
    <mergeCell ref="C4:C5"/>
    <mergeCell ref="D4:D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P43"/>
  <sheetViews>
    <sheetView zoomScale="80" zoomScaleNormal="80" workbookViewId="0">
      <pane ySplit="6" topLeftCell="A7" activePane="bottomLeft" state="frozen"/>
      <selection pane="bottomLeft" activeCell="O7" sqref="O7"/>
    </sheetView>
  </sheetViews>
  <sheetFormatPr defaultRowHeight="14.25" x14ac:dyDescent="0.2"/>
  <cols>
    <col min="1" max="1" width="28.7109375" style="2" customWidth="1"/>
    <col min="2" max="3" width="14.5703125" style="9" customWidth="1"/>
    <col min="4" max="7" width="14.5703125" style="2" customWidth="1"/>
    <col min="8" max="9" width="14.5703125" style="9" customWidth="1"/>
    <col min="10" max="13" width="14.5703125" style="2" customWidth="1"/>
    <col min="14" max="16384" width="9.140625" style="2"/>
  </cols>
  <sheetData>
    <row r="1" spans="1:16" ht="15" x14ac:dyDescent="0.2">
      <c r="G1" s="51"/>
      <c r="M1" s="51" t="s">
        <v>374</v>
      </c>
    </row>
    <row r="2" spans="1:16" ht="43.5" customHeight="1" x14ac:dyDescent="0.2">
      <c r="A2" s="556" t="s">
        <v>515</v>
      </c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</row>
    <row r="3" spans="1:16" ht="18.75" thickBot="1" x14ac:dyDescent="0.25">
      <c r="A3" s="274"/>
      <c r="B3" s="274"/>
      <c r="C3" s="274"/>
      <c r="H3" s="274"/>
      <c r="I3" s="274"/>
    </row>
    <row r="4" spans="1:16" s="277" customFormat="1" ht="35.25" customHeight="1" x14ac:dyDescent="0.2">
      <c r="A4" s="591" t="s">
        <v>153</v>
      </c>
      <c r="B4" s="594" t="s">
        <v>378</v>
      </c>
      <c r="C4" s="595"/>
      <c r="D4" s="595"/>
      <c r="E4" s="595"/>
      <c r="F4" s="595"/>
      <c r="G4" s="596"/>
      <c r="H4" s="597" t="s">
        <v>514</v>
      </c>
      <c r="I4" s="598"/>
      <c r="J4" s="598"/>
      <c r="K4" s="598"/>
      <c r="L4" s="598"/>
      <c r="M4" s="599"/>
    </row>
    <row r="5" spans="1:16" s="277" customFormat="1" ht="35.25" customHeight="1" x14ac:dyDescent="0.2">
      <c r="A5" s="592"/>
      <c r="B5" s="587" t="s">
        <v>376</v>
      </c>
      <c r="C5" s="588"/>
      <c r="D5" s="588"/>
      <c r="E5" s="588" t="s">
        <v>377</v>
      </c>
      <c r="F5" s="588"/>
      <c r="G5" s="590"/>
      <c r="H5" s="587" t="s">
        <v>376</v>
      </c>
      <c r="I5" s="588"/>
      <c r="J5" s="588"/>
      <c r="K5" s="588" t="s">
        <v>377</v>
      </c>
      <c r="L5" s="588"/>
      <c r="M5" s="589"/>
    </row>
    <row r="6" spans="1:16" s="278" customFormat="1" ht="42.75" customHeight="1" thickBot="1" x14ac:dyDescent="0.3">
      <c r="A6" s="593"/>
      <c r="B6" s="315" t="s">
        <v>276</v>
      </c>
      <c r="C6" s="313" t="s">
        <v>375</v>
      </c>
      <c r="D6" s="313" t="s">
        <v>156</v>
      </c>
      <c r="E6" s="312" t="s">
        <v>276</v>
      </c>
      <c r="F6" s="313" t="s">
        <v>375</v>
      </c>
      <c r="G6" s="314" t="s">
        <v>156</v>
      </c>
      <c r="H6" s="315" t="s">
        <v>276</v>
      </c>
      <c r="I6" s="313" t="s">
        <v>375</v>
      </c>
      <c r="J6" s="313" t="s">
        <v>156</v>
      </c>
      <c r="K6" s="312" t="s">
        <v>276</v>
      </c>
      <c r="L6" s="313" t="s">
        <v>375</v>
      </c>
      <c r="M6" s="316" t="s">
        <v>156</v>
      </c>
      <c r="P6" s="279"/>
    </row>
    <row r="7" spans="1:16" s="39" customFormat="1" ht="39.950000000000003" customHeight="1" x14ac:dyDescent="0.25">
      <c r="A7" s="284" t="s">
        <v>372</v>
      </c>
      <c r="B7" s="285">
        <f>SUM(B8:B22)</f>
        <v>56807.1</v>
      </c>
      <c r="C7" s="286">
        <f>IFERROR(B7/B28, "-")</f>
        <v>1.4296777083721328</v>
      </c>
      <c r="D7" s="286">
        <f>SUM(D8:D22)</f>
        <v>1</v>
      </c>
      <c r="E7" s="285">
        <f>SUM(E8:E22)</f>
        <v>79459.399999999994</v>
      </c>
      <c r="F7" s="286">
        <f>IFERROR(E7/E28, "-")</f>
        <v>1.3987582538098231</v>
      </c>
      <c r="G7" s="287">
        <f>SUM(G8:G22)</f>
        <v>1</v>
      </c>
      <c r="H7" s="285">
        <f>SUM(H8:H22)</f>
        <v>22487.4</v>
      </c>
      <c r="I7" s="286">
        <f>IFERROR(H7/H28, "-")</f>
        <v>1.5499999999999998</v>
      </c>
      <c r="J7" s="287">
        <f>SUM(J8:J22)</f>
        <v>0.99999999999999989</v>
      </c>
      <c r="K7" s="288">
        <f>SUM(K8:K22)</f>
        <v>34366.199999999997</v>
      </c>
      <c r="L7" s="286">
        <f>IFERROR(K7/K28, "-")</f>
        <v>1.5282424824568424</v>
      </c>
      <c r="M7" s="295">
        <f>SUM(M8:M22)</f>
        <v>1</v>
      </c>
      <c r="N7" s="17"/>
      <c r="P7" s="17"/>
    </row>
    <row r="8" spans="1:16" s="17" customFormat="1" ht="39.950000000000003" customHeight="1" x14ac:dyDescent="0.25">
      <c r="A8" s="283" t="s">
        <v>373</v>
      </c>
      <c r="B8" s="228">
        <v>978.1</v>
      </c>
      <c r="C8" s="370">
        <f t="shared" ref="C8:C22" si="0">IFERROR(B8/B29, "-")</f>
        <v>1.2694354315379623</v>
      </c>
      <c r="D8" s="238">
        <f>B8/$B$7</f>
        <v>1.7217918182762366E-2</v>
      </c>
      <c r="E8" s="228">
        <v>1403.2</v>
      </c>
      <c r="F8" s="238">
        <f t="shared" ref="F8:F22" si="1">IFERROR(E8/E29, "-")</f>
        <v>1.4346181372047848</v>
      </c>
      <c r="G8" s="236">
        <f>E8/$E$7</f>
        <v>1.7659332942357987E-2</v>
      </c>
      <c r="H8" s="228">
        <v>91.7</v>
      </c>
      <c r="I8" s="238">
        <f t="shared" ref="I8:I22" si="2">IFERROR(H8/H29, "-")</f>
        <v>1.5090000000000001</v>
      </c>
      <c r="J8" s="236">
        <f>H8/$H$7</f>
        <v>4.0778391454770226E-3</v>
      </c>
      <c r="K8" s="229">
        <v>218.8</v>
      </c>
      <c r="L8" s="238">
        <f t="shared" ref="L8:L22" si="3">IFERROR(K8/K29, "-")</f>
        <v>2.3860414394765539</v>
      </c>
      <c r="M8" s="317">
        <f>K8/$K$7</f>
        <v>6.3667207896130505E-3</v>
      </c>
    </row>
    <row r="9" spans="1:16" s="17" customFormat="1" ht="18.75" x14ac:dyDescent="0.25">
      <c r="A9" s="42" t="s">
        <v>114</v>
      </c>
      <c r="B9" s="232"/>
      <c r="C9" s="370"/>
      <c r="D9" s="238"/>
      <c r="E9" s="232"/>
      <c r="F9" s="238"/>
      <c r="G9" s="236"/>
      <c r="H9" s="232"/>
      <c r="I9" s="238"/>
      <c r="J9" s="236"/>
      <c r="K9" s="233"/>
      <c r="L9" s="238"/>
      <c r="M9" s="317"/>
    </row>
    <row r="10" spans="1:16" s="17" customFormat="1" ht="31.5" customHeight="1" x14ac:dyDescent="0.25">
      <c r="A10" s="44" t="s">
        <v>284</v>
      </c>
      <c r="B10" s="228">
        <v>1410.2</v>
      </c>
      <c r="C10" s="370">
        <f t="shared" si="0"/>
        <v>1.2560790950387459</v>
      </c>
      <c r="D10" s="238">
        <f t="shared" ref="D10:D22" si="4">B10/$B$7</f>
        <v>2.4824361743514458E-2</v>
      </c>
      <c r="E10" s="228">
        <v>1797.7</v>
      </c>
      <c r="F10" s="238">
        <f t="shared" si="1"/>
        <v>1.2747837186214721</v>
      </c>
      <c r="G10" s="236">
        <f t="shared" ref="G10:G22" si="5">E10/$E$7</f>
        <v>2.2624132575881521E-2</v>
      </c>
      <c r="H10" s="228">
        <v>129.6</v>
      </c>
      <c r="I10" s="238">
        <f t="shared" si="2"/>
        <v>1.714</v>
      </c>
      <c r="J10" s="236">
        <f t="shared" ref="J10:J22" si="6">H10/$H$7</f>
        <v>5.7632274073481145E-3</v>
      </c>
      <c r="K10" s="229">
        <v>213.9</v>
      </c>
      <c r="L10" s="238">
        <f t="shared" si="3"/>
        <v>1.650462962962963</v>
      </c>
      <c r="M10" s="317">
        <f t="shared" ref="M10:M22" si="7">K10/$K$7</f>
        <v>6.2241388340869815E-3</v>
      </c>
    </row>
    <row r="11" spans="1:16" s="17" customFormat="1" ht="31.5" customHeight="1" x14ac:dyDescent="0.25">
      <c r="A11" s="44" t="s">
        <v>285</v>
      </c>
      <c r="B11" s="228">
        <v>979.7</v>
      </c>
      <c r="C11" s="370">
        <f t="shared" si="0"/>
        <v>1.2205057929487977</v>
      </c>
      <c r="D11" s="238">
        <f t="shared" si="4"/>
        <v>1.72460836761602E-2</v>
      </c>
      <c r="E11" s="228">
        <v>1299.2</v>
      </c>
      <c r="F11" s="238">
        <f t="shared" si="1"/>
        <v>1.3261202408900683</v>
      </c>
      <c r="G11" s="236">
        <f t="shared" si="5"/>
        <v>1.6350488425535558E-2</v>
      </c>
      <c r="H11" s="228">
        <v>85</v>
      </c>
      <c r="I11" s="238">
        <f t="shared" si="2"/>
        <v>1.0379999999999998</v>
      </c>
      <c r="J11" s="236">
        <f t="shared" si="6"/>
        <v>3.7798945187082541E-3</v>
      </c>
      <c r="K11" s="229">
        <v>192.7</v>
      </c>
      <c r="L11" s="238">
        <f t="shared" si="3"/>
        <v>2.2670588235294118</v>
      </c>
      <c r="M11" s="317">
        <f t="shared" si="7"/>
        <v>5.607253638749702E-3</v>
      </c>
    </row>
    <row r="12" spans="1:16" s="17" customFormat="1" ht="31.5" customHeight="1" x14ac:dyDescent="0.25">
      <c r="A12" s="44" t="s">
        <v>286</v>
      </c>
      <c r="B12" s="228">
        <v>696.3</v>
      </c>
      <c r="C12" s="370">
        <f t="shared" si="0"/>
        <v>1.4503228494063736</v>
      </c>
      <c r="D12" s="238">
        <f t="shared" si="4"/>
        <v>1.225727065806915E-2</v>
      </c>
      <c r="E12" s="228">
        <v>1101.9000000000001</v>
      </c>
      <c r="F12" s="238">
        <f t="shared" si="1"/>
        <v>1.5825075398535116</v>
      </c>
      <c r="G12" s="236">
        <f t="shared" si="5"/>
        <v>1.3867459356602241E-2</v>
      </c>
      <c r="H12" s="228">
        <v>133.4</v>
      </c>
      <c r="I12" s="238">
        <f t="shared" si="2"/>
        <v>3.1050000000000004</v>
      </c>
      <c r="J12" s="236">
        <f t="shared" si="6"/>
        <v>5.9322109270080131E-3</v>
      </c>
      <c r="K12" s="229">
        <v>369.1</v>
      </c>
      <c r="L12" s="238">
        <f t="shared" si="3"/>
        <v>2.7668665667166419</v>
      </c>
      <c r="M12" s="317">
        <f t="shared" si="7"/>
        <v>1.0740204037688196E-2</v>
      </c>
    </row>
    <row r="13" spans="1:16" s="17" customFormat="1" ht="31.5" customHeight="1" x14ac:dyDescent="0.25">
      <c r="A13" s="44" t="s">
        <v>287</v>
      </c>
      <c r="B13" s="228">
        <v>1364.9</v>
      </c>
      <c r="C13" s="370">
        <f t="shared" si="0"/>
        <v>1.259713890170743</v>
      </c>
      <c r="D13" s="238">
        <f t="shared" si="4"/>
        <v>2.4026926211688331E-2</v>
      </c>
      <c r="E13" s="228">
        <v>1802.8</v>
      </c>
      <c r="F13" s="238">
        <f t="shared" si="1"/>
        <v>1.3208293647886291</v>
      </c>
      <c r="G13" s="236">
        <f t="shared" si="5"/>
        <v>2.2688316297379545E-2</v>
      </c>
      <c r="H13" s="228">
        <v>131.9</v>
      </c>
      <c r="I13" s="238">
        <f t="shared" si="2"/>
        <v>1.151</v>
      </c>
      <c r="J13" s="236">
        <f t="shared" si="6"/>
        <v>5.8655069060896325E-3</v>
      </c>
      <c r="K13" s="229">
        <v>262.7</v>
      </c>
      <c r="L13" s="238">
        <f t="shared" si="3"/>
        <v>1.9916603487490521</v>
      </c>
      <c r="M13" s="317">
        <f t="shared" si="7"/>
        <v>7.6441387176935478E-3</v>
      </c>
    </row>
    <row r="14" spans="1:16" s="17" customFormat="1" ht="31.5" customHeight="1" x14ac:dyDescent="0.25">
      <c r="A14" s="44" t="s">
        <v>288</v>
      </c>
      <c r="B14" s="228">
        <v>674.5</v>
      </c>
      <c r="C14" s="370">
        <f t="shared" si="0"/>
        <v>1.3280173262453239</v>
      </c>
      <c r="D14" s="238">
        <f t="shared" si="4"/>
        <v>1.1873515810523684E-2</v>
      </c>
      <c r="E14" s="228">
        <v>963.2</v>
      </c>
      <c r="F14" s="238">
        <f t="shared" si="1"/>
        <v>1.4280207561156413</v>
      </c>
      <c r="G14" s="236">
        <f t="shared" si="5"/>
        <v>1.2121913832724639E-2</v>
      </c>
      <c r="H14" s="228">
        <v>134</v>
      </c>
      <c r="I14" s="238">
        <f t="shared" si="2"/>
        <v>2.0449999999999999</v>
      </c>
      <c r="J14" s="236">
        <f t="shared" si="6"/>
        <v>5.9588925353753651E-3</v>
      </c>
      <c r="K14" s="229">
        <v>278.60000000000002</v>
      </c>
      <c r="L14" s="238">
        <f t="shared" si="3"/>
        <v>2.0791044776119403</v>
      </c>
      <c r="M14" s="317">
        <f t="shared" si="7"/>
        <v>8.1068026141965076E-3</v>
      </c>
    </row>
    <row r="15" spans="1:16" s="17" customFormat="1" ht="31.5" customHeight="1" x14ac:dyDescent="0.25">
      <c r="A15" s="44" t="s">
        <v>289</v>
      </c>
      <c r="B15" s="228">
        <v>1181.8</v>
      </c>
      <c r="C15" s="370">
        <f t="shared" si="0"/>
        <v>1.1731189199920586</v>
      </c>
      <c r="D15" s="238">
        <f t="shared" si="4"/>
        <v>2.0803737560973892E-2</v>
      </c>
      <c r="E15" s="228">
        <v>1590.7</v>
      </c>
      <c r="F15" s="238">
        <f t="shared" si="1"/>
        <v>1.3459976307327806</v>
      </c>
      <c r="G15" s="236">
        <f t="shared" si="5"/>
        <v>2.0019028585667651E-2</v>
      </c>
      <c r="H15" s="228">
        <v>86</v>
      </c>
      <c r="I15" s="238">
        <f t="shared" si="2"/>
        <v>0.752</v>
      </c>
      <c r="J15" s="236">
        <f t="shared" si="6"/>
        <v>3.8243638659871747E-3</v>
      </c>
      <c r="K15" s="229">
        <v>183.7</v>
      </c>
      <c r="L15" s="238">
        <f t="shared" si="3"/>
        <v>2.136046511627907</v>
      </c>
      <c r="M15" s="317">
        <f t="shared" si="7"/>
        <v>5.3453684143140645E-3</v>
      </c>
    </row>
    <row r="16" spans="1:16" s="17" customFormat="1" ht="31.5" customHeight="1" x14ac:dyDescent="0.25">
      <c r="A16" s="44" t="s">
        <v>290</v>
      </c>
      <c r="B16" s="228">
        <v>2002.3</v>
      </c>
      <c r="C16" s="370">
        <f t="shared" si="0"/>
        <v>1.3340662269305084</v>
      </c>
      <c r="D16" s="238">
        <f t="shared" si="4"/>
        <v>3.5247354644049773E-2</v>
      </c>
      <c r="E16" s="228">
        <v>2764.3</v>
      </c>
      <c r="F16" s="238">
        <f t="shared" si="1"/>
        <v>1.3805623532937124</v>
      </c>
      <c r="G16" s="236">
        <f t="shared" si="5"/>
        <v>3.4788835556271512E-2</v>
      </c>
      <c r="H16" s="228">
        <v>340.2</v>
      </c>
      <c r="I16" s="238">
        <f t="shared" si="2"/>
        <v>1.85</v>
      </c>
      <c r="J16" s="236">
        <f t="shared" si="6"/>
        <v>1.5128471944288801E-2</v>
      </c>
      <c r="K16" s="229">
        <v>568.29999999999995</v>
      </c>
      <c r="L16" s="238">
        <f t="shared" si="3"/>
        <v>1.670487948265726</v>
      </c>
      <c r="M16" s="317">
        <f t="shared" si="7"/>
        <v>1.6536597005196968E-2</v>
      </c>
    </row>
    <row r="17" spans="1:13" s="17" customFormat="1" ht="31.5" customHeight="1" x14ac:dyDescent="0.25">
      <c r="A17" s="44" t="s">
        <v>291</v>
      </c>
      <c r="B17" s="228">
        <v>1078.8</v>
      </c>
      <c r="C17" s="370">
        <f t="shared" si="0"/>
        <v>1.2347487696005492</v>
      </c>
      <c r="D17" s="238">
        <f t="shared" si="4"/>
        <v>1.8990583923488437E-2</v>
      </c>
      <c r="E17" s="228">
        <v>1428.3</v>
      </c>
      <c r="F17" s="238">
        <f t="shared" si="1"/>
        <v>1.3239710789766408</v>
      </c>
      <c r="G17" s="236">
        <f t="shared" si="5"/>
        <v>1.7975217532475704E-2</v>
      </c>
      <c r="H17" s="228">
        <v>162.19999999999999</v>
      </c>
      <c r="I17" s="238">
        <f t="shared" si="2"/>
        <v>1.3340000000000001</v>
      </c>
      <c r="J17" s="236">
        <f t="shared" si="6"/>
        <v>7.2129281286409264E-3</v>
      </c>
      <c r="K17" s="229">
        <v>299.7</v>
      </c>
      <c r="L17" s="238">
        <f t="shared" si="3"/>
        <v>1.8477188655980272</v>
      </c>
      <c r="M17" s="317">
        <f t="shared" si="7"/>
        <v>8.7207779737067236E-3</v>
      </c>
    </row>
    <row r="18" spans="1:13" s="17" customFormat="1" ht="31.5" customHeight="1" x14ac:dyDescent="0.25">
      <c r="A18" s="44" t="s">
        <v>292</v>
      </c>
      <c r="B18" s="228">
        <v>476.5</v>
      </c>
      <c r="C18" s="370">
        <f t="shared" si="0"/>
        <v>1.2347758486654574</v>
      </c>
      <c r="D18" s="238">
        <f t="shared" si="4"/>
        <v>8.3880360025419352E-3</v>
      </c>
      <c r="E18" s="228">
        <v>631.1</v>
      </c>
      <c r="F18" s="238">
        <f t="shared" si="1"/>
        <v>1.3244491080797482</v>
      </c>
      <c r="G18" s="236">
        <f t="shared" si="5"/>
        <v>7.9424209092945584E-3</v>
      </c>
      <c r="H18" s="228">
        <v>45</v>
      </c>
      <c r="I18" s="238">
        <f t="shared" si="2"/>
        <v>1.4480000000000002</v>
      </c>
      <c r="J18" s="236">
        <f t="shared" si="6"/>
        <v>2.0011206275514287E-3</v>
      </c>
      <c r="K18" s="229">
        <v>88.1</v>
      </c>
      <c r="L18" s="238">
        <f t="shared" si="3"/>
        <v>1.9577777777777776</v>
      </c>
      <c r="M18" s="317">
        <f t="shared" si="7"/>
        <v>2.5635653636421835E-3</v>
      </c>
    </row>
    <row r="19" spans="1:13" s="17" customFormat="1" ht="31.5" customHeight="1" x14ac:dyDescent="0.25">
      <c r="A19" s="44" t="s">
        <v>293</v>
      </c>
      <c r="B19" s="228">
        <v>1816.4</v>
      </c>
      <c r="C19" s="370">
        <f t="shared" si="0"/>
        <v>1.3484780994803267</v>
      </c>
      <c r="D19" s="238">
        <f t="shared" si="4"/>
        <v>3.1974876379889133E-2</v>
      </c>
      <c r="E19" s="228">
        <v>2566.6999999999998</v>
      </c>
      <c r="F19" s="238">
        <f t="shared" si="1"/>
        <v>1.4130698084122437</v>
      </c>
      <c r="G19" s="236">
        <f t="shared" si="5"/>
        <v>3.2302030974308893E-2</v>
      </c>
      <c r="H19" s="228">
        <v>228.4</v>
      </c>
      <c r="I19" s="238">
        <f t="shared" si="2"/>
        <v>1.5469999999999999</v>
      </c>
      <c r="J19" s="236">
        <f t="shared" si="6"/>
        <v>1.0156798918505473E-2</v>
      </c>
      <c r="K19" s="229">
        <v>467.3</v>
      </c>
      <c r="L19" s="238">
        <f t="shared" si="3"/>
        <v>2.0459719789842383</v>
      </c>
      <c r="M19" s="317">
        <f t="shared" si="7"/>
        <v>1.3597662819863705E-2</v>
      </c>
    </row>
    <row r="20" spans="1:13" s="17" customFormat="1" ht="31.5" customHeight="1" x14ac:dyDescent="0.25">
      <c r="A20" s="44" t="s">
        <v>294</v>
      </c>
      <c r="B20" s="228">
        <v>2081.9</v>
      </c>
      <c r="C20" s="370">
        <f t="shared" si="0"/>
        <v>1.2387837677020113</v>
      </c>
      <c r="D20" s="238">
        <f t="shared" si="4"/>
        <v>3.6648587940591934E-2</v>
      </c>
      <c r="E20" s="228">
        <v>2806.8</v>
      </c>
      <c r="F20" s="238">
        <f t="shared" si="1"/>
        <v>1.3481915557903839</v>
      </c>
      <c r="G20" s="236">
        <f t="shared" si="5"/>
        <v>3.5323699902088369E-2</v>
      </c>
      <c r="H20" s="228">
        <v>357.7</v>
      </c>
      <c r="I20" s="238">
        <f t="shared" si="2"/>
        <v>1.222</v>
      </c>
      <c r="J20" s="236">
        <f t="shared" si="6"/>
        <v>1.5906685521669912E-2</v>
      </c>
      <c r="K20" s="229">
        <v>641.79999999999995</v>
      </c>
      <c r="L20" s="238">
        <f t="shared" si="3"/>
        <v>1.7942409840648588</v>
      </c>
      <c r="M20" s="317">
        <f t="shared" si="7"/>
        <v>1.8675326338088005E-2</v>
      </c>
    </row>
    <row r="21" spans="1:13" s="17" customFormat="1" ht="31.5" customHeight="1" x14ac:dyDescent="0.25">
      <c r="A21" s="44" t="s">
        <v>295</v>
      </c>
      <c r="B21" s="228">
        <v>1102.2</v>
      </c>
      <c r="C21" s="370">
        <f t="shared" si="0"/>
        <v>1.5293464687109755</v>
      </c>
      <c r="D21" s="238">
        <f t="shared" si="4"/>
        <v>1.9402504264431734E-2</v>
      </c>
      <c r="E21" s="228">
        <v>1534.4</v>
      </c>
      <c r="F21" s="238">
        <f t="shared" si="1"/>
        <v>1.3921248412266376</v>
      </c>
      <c r="G21" s="236">
        <f t="shared" si="5"/>
        <v>1.9310490640503202E-2</v>
      </c>
      <c r="H21" s="228">
        <v>163.5</v>
      </c>
      <c r="I21" s="238">
        <f t="shared" si="2"/>
        <v>4.7670000000000003</v>
      </c>
      <c r="J21" s="236">
        <f t="shared" si="6"/>
        <v>7.2707382801035243E-3</v>
      </c>
      <c r="K21" s="229">
        <v>323.2</v>
      </c>
      <c r="L21" s="238">
        <f t="shared" si="3"/>
        <v>1.9767584097859328</v>
      </c>
      <c r="M21" s="317">
        <f t="shared" si="7"/>
        <v>9.4045893930664436E-3</v>
      </c>
    </row>
    <row r="22" spans="1:13" s="17" customFormat="1" ht="31.5" customHeight="1" x14ac:dyDescent="0.25">
      <c r="A22" s="44" t="s">
        <v>296</v>
      </c>
      <c r="B22" s="228">
        <v>40963.5</v>
      </c>
      <c r="C22" s="370">
        <f t="shared" si="0"/>
        <v>1.4935737334329937</v>
      </c>
      <c r="D22" s="238">
        <f t="shared" si="4"/>
        <v>0.72109824300131498</v>
      </c>
      <c r="E22" s="228">
        <v>57769.1</v>
      </c>
      <c r="F22" s="238">
        <f t="shared" si="1"/>
        <v>1.4102579125318881</v>
      </c>
      <c r="G22" s="236">
        <f t="shared" si="5"/>
        <v>0.72702663246890864</v>
      </c>
      <c r="H22" s="228">
        <v>20398.8</v>
      </c>
      <c r="I22" s="238">
        <f t="shared" si="2"/>
        <v>1.552</v>
      </c>
      <c r="J22" s="236">
        <f t="shared" si="6"/>
        <v>0.90712132127324629</v>
      </c>
      <c r="K22" s="229">
        <v>30258.3</v>
      </c>
      <c r="L22" s="238">
        <f t="shared" si="3"/>
        <v>1.4833372551326549</v>
      </c>
      <c r="M22" s="317">
        <f t="shared" si="7"/>
        <v>0.88046685406009395</v>
      </c>
    </row>
    <row r="27" spans="1:13" ht="20.25" x14ac:dyDescent="0.2">
      <c r="A27" s="380" t="s">
        <v>397</v>
      </c>
    </row>
    <row r="28" spans="1:13" ht="36" x14ac:dyDescent="0.2">
      <c r="A28" s="284" t="s">
        <v>372</v>
      </c>
      <c r="B28" s="378">
        <v>39734.199999999997</v>
      </c>
      <c r="C28" s="373"/>
      <c r="D28" s="373"/>
      <c r="E28" s="372">
        <f>B7</f>
        <v>56807.1</v>
      </c>
      <c r="F28" s="373"/>
      <c r="G28" s="374"/>
      <c r="H28" s="378">
        <v>14508.000000000002</v>
      </c>
      <c r="I28" s="373"/>
      <c r="J28" s="374"/>
      <c r="K28" s="372">
        <f>H7</f>
        <v>22487.4</v>
      </c>
      <c r="L28" s="373"/>
      <c r="M28" s="374"/>
    </row>
    <row r="29" spans="1:13" ht="36" x14ac:dyDescent="0.2">
      <c r="A29" s="283" t="s">
        <v>373</v>
      </c>
      <c r="B29" s="379">
        <v>770.5</v>
      </c>
      <c r="C29" s="375"/>
      <c r="D29" s="376"/>
      <c r="E29" s="371">
        <f t="shared" ref="E29:E43" si="8">B8</f>
        <v>978.1</v>
      </c>
      <c r="F29" s="375"/>
      <c r="G29" s="377"/>
      <c r="H29" s="379">
        <v>60.768721007289592</v>
      </c>
      <c r="I29" s="375"/>
      <c r="J29" s="377"/>
      <c r="K29" s="371">
        <f t="shared" ref="K29:K43" si="9">H8</f>
        <v>91.7</v>
      </c>
      <c r="L29" s="375"/>
      <c r="M29" s="377"/>
    </row>
    <row r="30" spans="1:13" ht="18.75" x14ac:dyDescent="0.2">
      <c r="A30" s="42" t="s">
        <v>114</v>
      </c>
      <c r="B30" s="379"/>
      <c r="C30" s="375"/>
      <c r="D30" s="376"/>
      <c r="E30" s="371"/>
      <c r="F30" s="375"/>
      <c r="G30" s="377"/>
      <c r="H30" s="379"/>
      <c r="I30" s="375"/>
      <c r="J30" s="377"/>
      <c r="K30" s="371"/>
      <c r="L30" s="375"/>
      <c r="M30" s="377"/>
    </row>
    <row r="31" spans="1:13" ht="18" x14ac:dyDescent="0.2">
      <c r="A31" s="44" t="s">
        <v>284</v>
      </c>
      <c r="B31" s="379">
        <v>1122.7</v>
      </c>
      <c r="C31" s="375"/>
      <c r="D31" s="376"/>
      <c r="E31" s="371">
        <f t="shared" si="8"/>
        <v>1410.2</v>
      </c>
      <c r="F31" s="375"/>
      <c r="G31" s="377"/>
      <c r="H31" s="379">
        <v>75.61260210035006</v>
      </c>
      <c r="I31" s="375"/>
      <c r="J31" s="377"/>
      <c r="K31" s="371">
        <f t="shared" si="9"/>
        <v>129.6</v>
      </c>
      <c r="L31" s="375"/>
      <c r="M31" s="377"/>
    </row>
    <row r="32" spans="1:13" ht="18" x14ac:dyDescent="0.2">
      <c r="A32" s="44" t="s">
        <v>285</v>
      </c>
      <c r="B32" s="379">
        <v>802.7</v>
      </c>
      <c r="C32" s="375"/>
      <c r="D32" s="376"/>
      <c r="E32" s="371">
        <f t="shared" si="8"/>
        <v>979.7</v>
      </c>
      <c r="F32" s="375"/>
      <c r="G32" s="377"/>
      <c r="H32" s="379">
        <v>81.888246628131029</v>
      </c>
      <c r="I32" s="375"/>
      <c r="J32" s="377"/>
      <c r="K32" s="371">
        <f t="shared" si="9"/>
        <v>85</v>
      </c>
      <c r="L32" s="375"/>
      <c r="M32" s="377"/>
    </row>
    <row r="33" spans="1:13" ht="18" x14ac:dyDescent="0.2">
      <c r="A33" s="44" t="s">
        <v>286</v>
      </c>
      <c r="B33" s="379">
        <v>480.1</v>
      </c>
      <c r="C33" s="375"/>
      <c r="D33" s="376"/>
      <c r="E33" s="371">
        <f t="shared" si="8"/>
        <v>696.3</v>
      </c>
      <c r="F33" s="375"/>
      <c r="G33" s="377"/>
      <c r="H33" s="379">
        <v>42.962962962962962</v>
      </c>
      <c r="I33" s="375"/>
      <c r="J33" s="377"/>
      <c r="K33" s="371">
        <f t="shared" si="9"/>
        <v>133.4</v>
      </c>
      <c r="L33" s="375"/>
      <c r="M33" s="377"/>
    </row>
    <row r="34" spans="1:13" ht="18" x14ac:dyDescent="0.2">
      <c r="A34" s="44" t="s">
        <v>287</v>
      </c>
      <c r="B34" s="379">
        <v>1083.5</v>
      </c>
      <c r="C34" s="375"/>
      <c r="D34" s="376"/>
      <c r="E34" s="371">
        <f t="shared" si="8"/>
        <v>1364.9</v>
      </c>
      <c r="F34" s="375"/>
      <c r="G34" s="377"/>
      <c r="H34" s="379">
        <v>114.59600347523893</v>
      </c>
      <c r="I34" s="375"/>
      <c r="J34" s="377"/>
      <c r="K34" s="371">
        <f t="shared" si="9"/>
        <v>131.9</v>
      </c>
      <c r="L34" s="375"/>
      <c r="M34" s="377"/>
    </row>
    <row r="35" spans="1:13" ht="18" x14ac:dyDescent="0.2">
      <c r="A35" s="44" t="s">
        <v>288</v>
      </c>
      <c r="B35" s="379">
        <v>507.9</v>
      </c>
      <c r="C35" s="375"/>
      <c r="D35" s="376"/>
      <c r="E35" s="371">
        <f t="shared" si="8"/>
        <v>674.5</v>
      </c>
      <c r="F35" s="375"/>
      <c r="G35" s="377"/>
      <c r="H35" s="379">
        <v>65.525672371638137</v>
      </c>
      <c r="I35" s="375"/>
      <c r="J35" s="377"/>
      <c r="K35" s="371">
        <f t="shared" si="9"/>
        <v>134</v>
      </c>
      <c r="L35" s="375"/>
      <c r="M35" s="377"/>
    </row>
    <row r="36" spans="1:13" ht="18" x14ac:dyDescent="0.2">
      <c r="A36" s="44" t="s">
        <v>289</v>
      </c>
      <c r="B36" s="379">
        <v>1007.4</v>
      </c>
      <c r="C36" s="375"/>
      <c r="D36" s="376"/>
      <c r="E36" s="371">
        <f t="shared" si="8"/>
        <v>1181.8</v>
      </c>
      <c r="F36" s="375"/>
      <c r="G36" s="377"/>
      <c r="H36" s="379">
        <v>114.36170212765957</v>
      </c>
      <c r="I36" s="375"/>
      <c r="J36" s="377"/>
      <c r="K36" s="371">
        <f t="shared" si="9"/>
        <v>86</v>
      </c>
      <c r="L36" s="375"/>
      <c r="M36" s="377"/>
    </row>
    <row r="37" spans="1:13" ht="18" x14ac:dyDescent="0.2">
      <c r="A37" s="44" t="s">
        <v>290</v>
      </c>
      <c r="B37" s="379">
        <v>1500.9</v>
      </c>
      <c r="C37" s="375"/>
      <c r="D37" s="376"/>
      <c r="E37" s="371">
        <f t="shared" si="8"/>
        <v>2002.3</v>
      </c>
      <c r="F37" s="375"/>
      <c r="G37" s="377"/>
      <c r="H37" s="379">
        <v>183.89189189189187</v>
      </c>
      <c r="I37" s="375"/>
      <c r="J37" s="377"/>
      <c r="K37" s="371">
        <f t="shared" si="9"/>
        <v>340.2</v>
      </c>
      <c r="L37" s="375"/>
      <c r="M37" s="377"/>
    </row>
    <row r="38" spans="1:13" ht="18" x14ac:dyDescent="0.2">
      <c r="A38" s="44" t="s">
        <v>291</v>
      </c>
      <c r="B38" s="379">
        <v>873.7</v>
      </c>
      <c r="C38" s="375"/>
      <c r="D38" s="376"/>
      <c r="E38" s="371">
        <f t="shared" si="8"/>
        <v>1078.8</v>
      </c>
      <c r="F38" s="375"/>
      <c r="G38" s="377"/>
      <c r="H38" s="379">
        <v>121.58920539730134</v>
      </c>
      <c r="I38" s="375"/>
      <c r="J38" s="377"/>
      <c r="K38" s="371">
        <f t="shared" si="9"/>
        <v>162.19999999999999</v>
      </c>
      <c r="L38" s="375"/>
      <c r="M38" s="377"/>
    </row>
    <row r="39" spans="1:13" ht="18" x14ac:dyDescent="0.2">
      <c r="A39" s="44" t="s">
        <v>292</v>
      </c>
      <c r="B39" s="379">
        <v>385.9</v>
      </c>
      <c r="C39" s="375"/>
      <c r="D39" s="376"/>
      <c r="E39" s="371">
        <f t="shared" si="8"/>
        <v>476.5</v>
      </c>
      <c r="F39" s="375"/>
      <c r="G39" s="377"/>
      <c r="H39" s="379">
        <v>31.077348066298338</v>
      </c>
      <c r="I39" s="375"/>
      <c r="J39" s="377"/>
      <c r="K39" s="371">
        <f t="shared" si="9"/>
        <v>45</v>
      </c>
      <c r="L39" s="375"/>
      <c r="M39" s="377"/>
    </row>
    <row r="40" spans="1:13" ht="18" x14ac:dyDescent="0.2">
      <c r="A40" s="44" t="s">
        <v>293</v>
      </c>
      <c r="B40" s="379">
        <v>1347</v>
      </c>
      <c r="C40" s="375"/>
      <c r="D40" s="376"/>
      <c r="E40" s="371">
        <f t="shared" si="8"/>
        <v>1816.4</v>
      </c>
      <c r="F40" s="375"/>
      <c r="G40" s="377"/>
      <c r="H40" s="379">
        <v>147.64059469941824</v>
      </c>
      <c r="I40" s="375"/>
      <c r="J40" s="377"/>
      <c r="K40" s="371">
        <f t="shared" si="9"/>
        <v>228.4</v>
      </c>
      <c r="L40" s="375"/>
      <c r="M40" s="377"/>
    </row>
    <row r="41" spans="1:13" ht="18" x14ac:dyDescent="0.2">
      <c r="A41" s="44" t="s">
        <v>294</v>
      </c>
      <c r="B41" s="379">
        <v>1680.6</v>
      </c>
      <c r="C41" s="375"/>
      <c r="D41" s="376"/>
      <c r="E41" s="371">
        <f t="shared" si="8"/>
        <v>2081.9</v>
      </c>
      <c r="F41" s="375"/>
      <c r="G41" s="377"/>
      <c r="H41" s="379">
        <v>292.71685761047462</v>
      </c>
      <c r="I41" s="375"/>
      <c r="J41" s="377"/>
      <c r="K41" s="371">
        <f t="shared" si="9"/>
        <v>357.7</v>
      </c>
      <c r="L41" s="375"/>
      <c r="M41" s="377"/>
    </row>
    <row r="42" spans="1:13" ht="18" x14ac:dyDescent="0.2">
      <c r="A42" s="44" t="s">
        <v>295</v>
      </c>
      <c r="B42" s="379">
        <v>720.7</v>
      </c>
      <c r="C42" s="375"/>
      <c r="D42" s="376"/>
      <c r="E42" s="371">
        <f t="shared" si="8"/>
        <v>1102.2</v>
      </c>
      <c r="F42" s="375"/>
      <c r="G42" s="377"/>
      <c r="H42" s="379">
        <v>34.298300818124602</v>
      </c>
      <c r="I42" s="375"/>
      <c r="J42" s="377"/>
      <c r="K42" s="371">
        <f t="shared" si="9"/>
        <v>163.5</v>
      </c>
      <c r="L42" s="375"/>
      <c r="M42" s="377"/>
    </row>
    <row r="43" spans="1:13" ht="18" x14ac:dyDescent="0.2">
      <c r="A43" s="44" t="s">
        <v>296</v>
      </c>
      <c r="B43" s="379">
        <v>27426.5</v>
      </c>
      <c r="C43" s="375"/>
      <c r="D43" s="376"/>
      <c r="E43" s="371">
        <f t="shared" si="8"/>
        <v>40963.5</v>
      </c>
      <c r="F43" s="375"/>
      <c r="G43" s="377"/>
      <c r="H43" s="379">
        <v>13143.556701030928</v>
      </c>
      <c r="I43" s="375"/>
      <c r="J43" s="377"/>
      <c r="K43" s="371">
        <f t="shared" si="9"/>
        <v>20398.8</v>
      </c>
      <c r="L43" s="375"/>
      <c r="M43" s="377"/>
    </row>
  </sheetData>
  <mergeCells count="8">
    <mergeCell ref="H5:J5"/>
    <mergeCell ref="K5:M5"/>
    <mergeCell ref="E5:G5"/>
    <mergeCell ref="A2:M2"/>
    <mergeCell ref="A4:A6"/>
    <mergeCell ref="B4:G4"/>
    <mergeCell ref="B5:D5"/>
    <mergeCell ref="H4:M4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69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8"/>
    <pageSetUpPr fitToPage="1"/>
  </sheetPr>
  <dimension ref="A1:J30"/>
  <sheetViews>
    <sheetView zoomScale="70" zoomScaleNormal="70" workbookViewId="0">
      <pane ySplit="5" topLeftCell="A6" activePane="bottomLeft" state="frozen"/>
      <selection pane="bottomLeft" activeCell="J6" sqref="J6"/>
    </sheetView>
  </sheetViews>
  <sheetFormatPr defaultRowHeight="16.5" x14ac:dyDescent="0.2"/>
  <cols>
    <col min="1" max="1" width="6.7109375" style="52" bestFit="1" customWidth="1"/>
    <col min="2" max="2" width="47.28515625" style="2" customWidth="1"/>
    <col min="3" max="8" width="20.28515625" style="2" customWidth="1"/>
    <col min="9" max="16384" width="9.140625" style="2"/>
  </cols>
  <sheetData>
    <row r="1" spans="1:10" x14ac:dyDescent="0.2">
      <c r="H1" s="51" t="s">
        <v>297</v>
      </c>
    </row>
    <row r="2" spans="1:10" ht="41.25" customHeight="1" x14ac:dyDescent="0.2">
      <c r="A2" s="556" t="s">
        <v>518</v>
      </c>
      <c r="B2" s="553"/>
      <c r="C2" s="553"/>
      <c r="D2" s="553"/>
      <c r="E2" s="553"/>
      <c r="F2" s="553"/>
      <c r="G2" s="553"/>
      <c r="H2" s="553"/>
    </row>
    <row r="3" spans="1:10" ht="18.75" thickBot="1" x14ac:dyDescent="0.3">
      <c r="B3" s="274"/>
      <c r="C3" s="274"/>
      <c r="D3" s="274"/>
      <c r="E3" s="274"/>
      <c r="F3" s="274"/>
      <c r="G3" s="274"/>
      <c r="H3" s="38" t="s">
        <v>323</v>
      </c>
    </row>
    <row r="4" spans="1:10" ht="32.25" customHeight="1" x14ac:dyDescent="0.25">
      <c r="A4" s="600" t="s">
        <v>93</v>
      </c>
      <c r="B4" s="606" t="s">
        <v>153</v>
      </c>
      <c r="C4" s="602" t="str">
        <f>'2-жадвал'!C5</f>
        <v>2024-йил</v>
      </c>
      <c r="D4" s="602" t="str">
        <f>'2-жадвал'!D5</f>
        <v>2025-йил</v>
      </c>
      <c r="E4" s="606" t="s">
        <v>156</v>
      </c>
      <c r="F4" s="606" t="s">
        <v>379</v>
      </c>
      <c r="G4" s="604" t="s">
        <v>307</v>
      </c>
      <c r="H4" s="605"/>
    </row>
    <row r="5" spans="1:10" ht="66.75" customHeight="1" thickBot="1" x14ac:dyDescent="0.25">
      <c r="A5" s="601"/>
      <c r="B5" s="607"/>
      <c r="C5" s="603"/>
      <c r="D5" s="603"/>
      <c r="E5" s="607"/>
      <c r="F5" s="607"/>
      <c r="G5" s="275" t="s">
        <v>398</v>
      </c>
      <c r="H5" s="275" t="s">
        <v>156</v>
      </c>
    </row>
    <row r="6" spans="1:10" s="39" customFormat="1" ht="30" customHeight="1" x14ac:dyDescent="0.25">
      <c r="A6" s="239">
        <v>1</v>
      </c>
      <c r="B6" s="126" t="s">
        <v>298</v>
      </c>
      <c r="C6" s="473">
        <v>2600</v>
      </c>
      <c r="D6" s="529">
        <v>3435</v>
      </c>
      <c r="E6" s="223" t="s">
        <v>98</v>
      </c>
      <c r="F6" s="470">
        <f>IFERROR(D6/C6, "-")</f>
        <v>1.3211538461538461</v>
      </c>
      <c r="G6" s="469">
        <v>716.4</v>
      </c>
      <c r="H6" s="240" t="s">
        <v>98</v>
      </c>
    </row>
    <row r="7" spans="1:10" s="17" customFormat="1" ht="30" customHeight="1" x14ac:dyDescent="0.25">
      <c r="A7" s="53">
        <v>2</v>
      </c>
      <c r="B7" s="54" t="s">
        <v>299</v>
      </c>
      <c r="C7" s="234">
        <v>1049</v>
      </c>
      <c r="D7" s="429">
        <v>835</v>
      </c>
      <c r="E7" s="311">
        <f>D7/$D$6</f>
        <v>0.2430858806404658</v>
      </c>
      <c r="F7" s="311">
        <f t="shared" ref="F7:F27" si="0">IFERROR(D7/C7, "-")</f>
        <v>0.79599618684461393</v>
      </c>
      <c r="G7" s="471">
        <v>65.516598000000002</v>
      </c>
      <c r="H7" s="472">
        <f>G7/$G$6</f>
        <v>9.145253768844222E-2</v>
      </c>
      <c r="J7" s="528"/>
    </row>
    <row r="8" spans="1:10" s="17" customFormat="1" ht="30" customHeight="1" x14ac:dyDescent="0.25">
      <c r="A8" s="53">
        <v>3</v>
      </c>
      <c r="B8" s="54" t="s">
        <v>300</v>
      </c>
      <c r="C8" s="234">
        <v>330</v>
      </c>
      <c r="D8" s="429">
        <v>689</v>
      </c>
      <c r="E8" s="311">
        <f>D8/$D$6</f>
        <v>0.20058224163027658</v>
      </c>
      <c r="F8" s="311">
        <f t="shared" si="0"/>
        <v>2.0878787878787879</v>
      </c>
      <c r="G8" s="471">
        <v>2.181</v>
      </c>
      <c r="H8" s="472">
        <f>G8/$G$6</f>
        <v>3.044388609715243E-3</v>
      </c>
      <c r="J8" s="528"/>
    </row>
    <row r="9" spans="1:10" s="17" customFormat="1" ht="30" customHeight="1" x14ac:dyDescent="0.25">
      <c r="A9" s="53">
        <v>4</v>
      </c>
      <c r="B9" s="54" t="s">
        <v>301</v>
      </c>
      <c r="C9" s="235">
        <f>+C7-C8</f>
        <v>719</v>
      </c>
      <c r="D9" s="474">
        <f>+D7-D8</f>
        <v>146</v>
      </c>
      <c r="E9" s="226" t="s">
        <v>98</v>
      </c>
      <c r="F9" s="311">
        <f t="shared" si="0"/>
        <v>0.20305980528511822</v>
      </c>
      <c r="G9" s="230" t="s">
        <v>98</v>
      </c>
      <c r="H9" s="231" t="s">
        <v>98</v>
      </c>
    </row>
    <row r="10" spans="1:10" s="17" customFormat="1" ht="30" customHeight="1" x14ac:dyDescent="0.25">
      <c r="A10" s="103">
        <v>5</v>
      </c>
      <c r="B10" s="104" t="s">
        <v>400</v>
      </c>
      <c r="C10" s="230" t="s">
        <v>98</v>
      </c>
      <c r="D10" s="226" t="s">
        <v>98</v>
      </c>
      <c r="E10" s="226" t="s">
        <v>98</v>
      </c>
      <c r="F10" s="311" t="s">
        <v>98</v>
      </c>
      <c r="G10" s="230" t="s">
        <v>98</v>
      </c>
      <c r="H10" s="241" t="s">
        <v>98</v>
      </c>
    </row>
    <row r="11" spans="1:10" s="17" customFormat="1" ht="30" customHeight="1" x14ac:dyDescent="0.25">
      <c r="A11" s="74" t="s">
        <v>61</v>
      </c>
      <c r="B11" s="280" t="s">
        <v>491</v>
      </c>
      <c r="C11" s="234">
        <v>944</v>
      </c>
      <c r="D11" s="429">
        <v>1584</v>
      </c>
      <c r="E11" s="238">
        <f t="shared" ref="E11:E27" si="1">D11/$D$6</f>
        <v>0.4611353711790393</v>
      </c>
      <c r="F11" s="311">
        <f t="shared" si="0"/>
        <v>1.6779661016949152</v>
      </c>
      <c r="G11" s="471">
        <v>302.93302615800002</v>
      </c>
      <c r="H11" s="476">
        <f t="shared" ref="H11:H27" si="2">G11/$G$6</f>
        <v>0.42285458704355111</v>
      </c>
    </row>
    <row r="12" spans="1:10" s="17" customFormat="1" ht="30" customHeight="1" x14ac:dyDescent="0.25">
      <c r="A12" s="74" t="s">
        <v>62</v>
      </c>
      <c r="B12" s="280" t="s">
        <v>96</v>
      </c>
      <c r="C12" s="234">
        <v>320</v>
      </c>
      <c r="D12" s="429">
        <v>503</v>
      </c>
      <c r="E12" s="238">
        <f t="shared" si="1"/>
        <v>0.14643377001455604</v>
      </c>
      <c r="F12" s="311">
        <f t="shared" si="0"/>
        <v>1.5718749999999999</v>
      </c>
      <c r="G12" s="471">
        <v>204.10064376499986</v>
      </c>
      <c r="H12" s="476">
        <f t="shared" si="2"/>
        <v>0.28489760436208805</v>
      </c>
    </row>
    <row r="13" spans="1:10" s="17" customFormat="1" ht="30" customHeight="1" x14ac:dyDescent="0.25">
      <c r="A13" s="74" t="s">
        <v>63</v>
      </c>
      <c r="B13" s="280" t="s">
        <v>486</v>
      </c>
      <c r="C13" s="234">
        <v>361</v>
      </c>
      <c r="D13" s="429">
        <v>502</v>
      </c>
      <c r="E13" s="238">
        <f t="shared" si="1"/>
        <v>0.14614264919941775</v>
      </c>
      <c r="F13" s="311">
        <f t="shared" si="0"/>
        <v>1.3905817174515236</v>
      </c>
      <c r="G13" s="471">
        <v>3.9633604800000004</v>
      </c>
      <c r="H13" s="476">
        <f t="shared" si="2"/>
        <v>5.5323289782244567E-3</v>
      </c>
    </row>
    <row r="14" spans="1:10" s="17" customFormat="1" ht="30" customHeight="1" x14ac:dyDescent="0.25">
      <c r="A14" s="74" t="s">
        <v>64</v>
      </c>
      <c r="B14" s="280" t="s">
        <v>354</v>
      </c>
      <c r="C14" s="234">
        <v>262</v>
      </c>
      <c r="D14" s="429">
        <v>366</v>
      </c>
      <c r="E14" s="238">
        <f t="shared" si="1"/>
        <v>0.10655021834061135</v>
      </c>
      <c r="F14" s="311">
        <f t="shared" si="0"/>
        <v>1.3969465648854962</v>
      </c>
      <c r="G14" s="471">
        <v>28.412669627</v>
      </c>
      <c r="H14" s="476">
        <f t="shared" si="2"/>
        <v>3.9660342862925739E-2</v>
      </c>
    </row>
    <row r="15" spans="1:10" s="17" customFormat="1" ht="30" customHeight="1" x14ac:dyDescent="0.25">
      <c r="A15" s="74" t="s">
        <v>65</v>
      </c>
      <c r="B15" s="280" t="s">
        <v>492</v>
      </c>
      <c r="C15" s="234">
        <v>194</v>
      </c>
      <c r="D15" s="429">
        <v>229</v>
      </c>
      <c r="E15" s="238">
        <f t="shared" si="1"/>
        <v>6.6666666666666666E-2</v>
      </c>
      <c r="F15" s="311">
        <f t="shared" si="0"/>
        <v>1.1804123711340206</v>
      </c>
      <c r="G15" s="471">
        <v>43.045757692999999</v>
      </c>
      <c r="H15" s="476">
        <f t="shared" si="2"/>
        <v>6.0086205601619209E-2</v>
      </c>
    </row>
    <row r="16" spans="1:10" s="17" customFormat="1" ht="30" customHeight="1" x14ac:dyDescent="0.25">
      <c r="A16" s="74" t="s">
        <v>66</v>
      </c>
      <c r="B16" s="280" t="s">
        <v>485</v>
      </c>
      <c r="C16" s="234">
        <v>63</v>
      </c>
      <c r="D16" s="429">
        <v>117</v>
      </c>
      <c r="E16" s="238">
        <f t="shared" si="1"/>
        <v>3.4061135371179038E-2</v>
      </c>
      <c r="F16" s="311">
        <f t="shared" si="0"/>
        <v>1.8571428571428572</v>
      </c>
      <c r="G16" s="471">
        <v>6.2536136769999988</v>
      </c>
      <c r="H16" s="476">
        <f t="shared" si="2"/>
        <v>8.7292206546621988E-3</v>
      </c>
    </row>
    <row r="17" spans="1:8" s="17" customFormat="1" ht="30" customHeight="1" x14ac:dyDescent="0.25">
      <c r="A17" s="74" t="s">
        <v>67</v>
      </c>
      <c r="B17" s="280" t="s">
        <v>490</v>
      </c>
      <c r="C17" s="234">
        <v>78</v>
      </c>
      <c r="D17" s="429">
        <v>112</v>
      </c>
      <c r="E17" s="238">
        <f t="shared" si="1"/>
        <v>3.2605531295487628E-2</v>
      </c>
      <c r="F17" s="311">
        <f t="shared" si="0"/>
        <v>1.4358974358974359</v>
      </c>
      <c r="G17" s="471">
        <v>2.9083419529999999</v>
      </c>
      <c r="H17" s="476">
        <f t="shared" si="2"/>
        <v>4.0596621342825238E-3</v>
      </c>
    </row>
    <row r="18" spans="1:8" s="17" customFormat="1" ht="30" customHeight="1" x14ac:dyDescent="0.25">
      <c r="A18" s="74" t="s">
        <v>68</v>
      </c>
      <c r="B18" s="280" t="s">
        <v>94</v>
      </c>
      <c r="C18" s="234">
        <v>28</v>
      </c>
      <c r="D18" s="429">
        <v>95</v>
      </c>
      <c r="E18" s="238">
        <f t="shared" si="1"/>
        <v>2.7656477438136828E-2</v>
      </c>
      <c r="F18" s="311">
        <f t="shared" si="0"/>
        <v>3.3928571428571428</v>
      </c>
      <c r="G18" s="471">
        <v>20.978917213000003</v>
      </c>
      <c r="H18" s="476">
        <f t="shared" si="2"/>
        <v>2.9283804038246795E-2</v>
      </c>
    </row>
    <row r="19" spans="1:8" s="17" customFormat="1" ht="30" customHeight="1" x14ac:dyDescent="0.25">
      <c r="A19" s="74" t="s">
        <v>69</v>
      </c>
      <c r="B19" s="280" t="s">
        <v>487</v>
      </c>
      <c r="C19" s="234">
        <v>40</v>
      </c>
      <c r="D19" s="429">
        <v>58</v>
      </c>
      <c r="E19" s="238">
        <f t="shared" si="1"/>
        <v>1.6885007278020378E-2</v>
      </c>
      <c r="F19" s="311">
        <f t="shared" si="0"/>
        <v>1.45</v>
      </c>
      <c r="G19" s="471">
        <v>3.2932094359999997</v>
      </c>
      <c r="H19" s="476">
        <f t="shared" si="2"/>
        <v>4.5968864265773304E-3</v>
      </c>
    </row>
    <row r="20" spans="1:8" s="17" customFormat="1" ht="30" customHeight="1" x14ac:dyDescent="0.25">
      <c r="A20" s="74" t="s">
        <v>70</v>
      </c>
      <c r="B20" s="475" t="s">
        <v>488</v>
      </c>
      <c r="C20" s="234">
        <v>23</v>
      </c>
      <c r="D20" s="429">
        <v>36</v>
      </c>
      <c r="E20" s="238">
        <f t="shared" si="1"/>
        <v>1.0480349344978166E-2</v>
      </c>
      <c r="F20" s="311">
        <f t="shared" si="0"/>
        <v>1.5652173913043479</v>
      </c>
      <c r="G20" s="471">
        <v>1.9153284800000001</v>
      </c>
      <c r="H20" s="476">
        <f t="shared" si="2"/>
        <v>2.6735461753210499E-3</v>
      </c>
    </row>
    <row r="21" spans="1:8" s="17" customFormat="1" ht="30" customHeight="1" x14ac:dyDescent="0.25">
      <c r="A21" s="74" t="s">
        <v>71</v>
      </c>
      <c r="B21" s="280" t="s">
        <v>306</v>
      </c>
      <c r="C21" s="234">
        <v>13</v>
      </c>
      <c r="D21" s="429">
        <v>34</v>
      </c>
      <c r="E21" s="238">
        <f t="shared" si="1"/>
        <v>9.8981077147016015E-3</v>
      </c>
      <c r="F21" s="311">
        <f t="shared" si="0"/>
        <v>2.6153846153846154</v>
      </c>
      <c r="G21" s="471">
        <v>1.68466052</v>
      </c>
      <c r="H21" s="476">
        <f t="shared" si="2"/>
        <v>2.3515640982691233E-3</v>
      </c>
    </row>
    <row r="22" spans="1:8" s="17" customFormat="1" ht="30" customHeight="1" x14ac:dyDescent="0.25">
      <c r="A22" s="74" t="s">
        <v>72</v>
      </c>
      <c r="B22" s="280" t="s">
        <v>489</v>
      </c>
      <c r="C22" s="234">
        <v>20</v>
      </c>
      <c r="D22" s="429">
        <v>20</v>
      </c>
      <c r="E22" s="238">
        <f t="shared" si="1"/>
        <v>5.822416302765648E-3</v>
      </c>
      <c r="F22" s="311">
        <f t="shared" si="0"/>
        <v>1</v>
      </c>
      <c r="G22" s="471">
        <v>0.56092616999999989</v>
      </c>
      <c r="H22" s="476">
        <f t="shared" si="2"/>
        <v>7.8297902010050237E-4</v>
      </c>
    </row>
    <row r="23" spans="1:8" s="17" customFormat="1" ht="30" customHeight="1" x14ac:dyDescent="0.25">
      <c r="A23" s="74" t="s">
        <v>73</v>
      </c>
      <c r="B23" s="280" t="s">
        <v>484</v>
      </c>
      <c r="C23" s="234">
        <v>17</v>
      </c>
      <c r="D23" s="429">
        <v>19</v>
      </c>
      <c r="E23" s="238">
        <f t="shared" si="1"/>
        <v>5.531295487627365E-3</v>
      </c>
      <c r="F23" s="311">
        <f t="shared" si="0"/>
        <v>1.1176470588235294</v>
      </c>
      <c r="G23" s="471">
        <v>81.80392931999998</v>
      </c>
      <c r="H23" s="476">
        <f t="shared" si="2"/>
        <v>0.11418750603015072</v>
      </c>
    </row>
    <row r="24" spans="1:8" s="17" customFormat="1" ht="30" customHeight="1" x14ac:dyDescent="0.25">
      <c r="A24" s="74" t="s">
        <v>74</v>
      </c>
      <c r="B24" s="280" t="s">
        <v>304</v>
      </c>
      <c r="C24" s="234">
        <v>9</v>
      </c>
      <c r="D24" s="429">
        <v>9</v>
      </c>
      <c r="E24" s="238">
        <f t="shared" si="1"/>
        <v>2.6200873362445414E-3</v>
      </c>
      <c r="F24" s="311">
        <f t="shared" si="0"/>
        <v>1</v>
      </c>
      <c r="G24" s="471">
        <v>2.8115798800000009</v>
      </c>
      <c r="H24" s="476">
        <f t="shared" si="2"/>
        <v>3.9245950307091023E-3</v>
      </c>
    </row>
    <row r="25" spans="1:8" s="17" customFormat="1" ht="30" customHeight="1" x14ac:dyDescent="0.25">
      <c r="A25" s="74" t="s">
        <v>75</v>
      </c>
      <c r="B25" s="280" t="s">
        <v>302</v>
      </c>
      <c r="C25" s="234">
        <v>3</v>
      </c>
      <c r="D25" s="429">
        <v>8</v>
      </c>
      <c r="E25" s="238">
        <f t="shared" si="1"/>
        <v>2.3289665211062593E-3</v>
      </c>
      <c r="F25" s="311">
        <f t="shared" si="0"/>
        <v>2.6666666666666665</v>
      </c>
      <c r="G25" s="471">
        <v>0</v>
      </c>
      <c r="H25" s="476">
        <f t="shared" si="2"/>
        <v>0</v>
      </c>
    </row>
    <row r="26" spans="1:8" s="17" customFormat="1" ht="30" customHeight="1" x14ac:dyDescent="0.25">
      <c r="A26" s="74" t="s">
        <v>76</v>
      </c>
      <c r="B26" s="280" t="s">
        <v>303</v>
      </c>
      <c r="C26" s="234">
        <v>0</v>
      </c>
      <c r="D26" s="429">
        <v>2</v>
      </c>
      <c r="E26" s="238">
        <f t="shared" si="1"/>
        <v>5.8224163027656482E-4</v>
      </c>
      <c r="F26" s="311" t="str">
        <f t="shared" si="0"/>
        <v>-</v>
      </c>
      <c r="G26" s="471">
        <v>0</v>
      </c>
      <c r="H26" s="476">
        <f t="shared" si="2"/>
        <v>0</v>
      </c>
    </row>
    <row r="27" spans="1:8" s="17" customFormat="1" ht="30" customHeight="1" x14ac:dyDescent="0.25">
      <c r="A27" s="74" t="s">
        <v>97</v>
      </c>
      <c r="B27" s="280" t="s">
        <v>305</v>
      </c>
      <c r="C27" s="234">
        <v>0</v>
      </c>
      <c r="D27" s="429">
        <v>1</v>
      </c>
      <c r="E27" s="238">
        <f t="shared" si="1"/>
        <v>2.9112081513828241E-4</v>
      </c>
      <c r="F27" s="311" t="str">
        <f t="shared" si="0"/>
        <v>-</v>
      </c>
      <c r="G27" s="471">
        <v>0</v>
      </c>
      <c r="H27" s="476">
        <f t="shared" si="2"/>
        <v>0</v>
      </c>
    </row>
    <row r="30" spans="1:8" x14ac:dyDescent="0.2">
      <c r="C30" s="187"/>
      <c r="D30" s="187"/>
    </row>
  </sheetData>
  <sortState ref="B11:H27">
    <sortCondition descending="1" ref="E11:E27"/>
  </sortState>
  <mergeCells count="8">
    <mergeCell ref="A2:H2"/>
    <mergeCell ref="A4:A5"/>
    <mergeCell ref="C4:C5"/>
    <mergeCell ref="G4:H4"/>
    <mergeCell ref="F4:F5"/>
    <mergeCell ref="E4:E5"/>
    <mergeCell ref="D4:D5"/>
    <mergeCell ref="B4:B5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67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8"/>
  </sheetPr>
  <dimension ref="A1:G74"/>
  <sheetViews>
    <sheetView zoomScaleNormal="100" workbookViewId="0">
      <pane ySplit="7" topLeftCell="A8" activePane="bottomLeft" state="frozen"/>
      <selection pane="bottomLeft" activeCell="H7" sqref="H7"/>
    </sheetView>
  </sheetViews>
  <sheetFormatPr defaultRowHeight="16.5" x14ac:dyDescent="0.2"/>
  <cols>
    <col min="1" max="1" width="6.7109375" style="52" bestFit="1" customWidth="1"/>
    <col min="2" max="2" width="32.42578125" style="2" bestFit="1" customWidth="1"/>
    <col min="3" max="4" width="14.140625" style="2" customWidth="1"/>
    <col min="5" max="5" width="14.140625" style="244" customWidth="1"/>
    <col min="6" max="6" width="14.140625" style="2" customWidth="1"/>
    <col min="7" max="16384" width="9.140625" style="2"/>
  </cols>
  <sheetData>
    <row r="1" spans="1:7" x14ac:dyDescent="0.2">
      <c r="F1" s="51" t="s">
        <v>321</v>
      </c>
    </row>
    <row r="2" spans="1:7" ht="6.75" customHeight="1" x14ac:dyDescent="0.2">
      <c r="F2" s="51"/>
    </row>
    <row r="3" spans="1:7" ht="33.75" customHeight="1" x14ac:dyDescent="0.2">
      <c r="A3" s="556" t="s">
        <v>519</v>
      </c>
      <c r="B3" s="553"/>
      <c r="C3" s="553"/>
      <c r="D3" s="553"/>
      <c r="E3" s="608"/>
      <c r="F3" s="553"/>
    </row>
    <row r="4" spans="1:7" ht="18.75" thickBot="1" x14ac:dyDescent="0.3">
      <c r="B4" s="274"/>
      <c r="C4" s="274"/>
      <c r="D4" s="274"/>
      <c r="E4" s="245"/>
      <c r="F4" s="38" t="s">
        <v>323</v>
      </c>
    </row>
    <row r="5" spans="1:7" s="277" customFormat="1" ht="33" customHeight="1" thickBot="1" x14ac:dyDescent="0.25">
      <c r="A5" s="282" t="s">
        <v>93</v>
      </c>
      <c r="B5" s="189" t="s">
        <v>320</v>
      </c>
      <c r="C5" s="190" t="str">
        <f>'2-жадвал'!C5</f>
        <v>2024-йил</v>
      </c>
      <c r="D5" s="190" t="str">
        <f>'2-жадвал'!D5</f>
        <v>2025-йил</v>
      </c>
      <c r="E5" s="318" t="s">
        <v>156</v>
      </c>
      <c r="F5" s="78" t="s">
        <v>379</v>
      </c>
    </row>
    <row r="6" spans="1:7" s="1" customFormat="1" ht="7.5" customHeight="1" x14ac:dyDescent="0.25">
      <c r="A6" s="62"/>
      <c r="B6" s="63"/>
      <c r="C6" s="304"/>
      <c r="D6" s="304"/>
      <c r="E6" s="304"/>
      <c r="F6" s="305"/>
    </row>
    <row r="7" spans="1:7" s="39" customFormat="1" ht="18" x14ac:dyDescent="0.25">
      <c r="A7" s="103"/>
      <c r="B7" s="104" t="s">
        <v>271</v>
      </c>
      <c r="C7" s="535">
        <f>SUM(C8:C324)</f>
        <v>2375</v>
      </c>
      <c r="D7" s="536">
        <f>SUM(D8:D324)</f>
        <v>3695</v>
      </c>
      <c r="E7" s="321">
        <f>SUM(E8:E324)</f>
        <v>1.0000000000000004</v>
      </c>
      <c r="F7" s="542">
        <f>IFERROR(D7/C7, "-")</f>
        <v>1.5557894736842106</v>
      </c>
      <c r="G7" s="242"/>
    </row>
    <row r="8" spans="1:7" s="17" customFormat="1" ht="18" x14ac:dyDescent="0.25">
      <c r="A8" s="53">
        <v>1</v>
      </c>
      <c r="B8" s="54" t="s">
        <v>318</v>
      </c>
      <c r="C8" s="322">
        <v>1760</v>
      </c>
      <c r="D8" s="323">
        <v>2688</v>
      </c>
      <c r="E8" s="324">
        <f t="shared" ref="E8:E39" si="0">D8/$D$7</f>
        <v>0.72746955345060893</v>
      </c>
      <c r="F8" s="541">
        <f t="shared" ref="F8:F71" si="1">IFERROR(D8/C8, "-")</f>
        <v>1.5272727272727273</v>
      </c>
      <c r="G8" s="243"/>
    </row>
    <row r="9" spans="1:7" s="17" customFormat="1" ht="18" x14ac:dyDescent="0.25">
      <c r="A9" s="53">
        <v>2</v>
      </c>
      <c r="B9" s="54" t="s">
        <v>225</v>
      </c>
      <c r="C9" s="322">
        <v>275</v>
      </c>
      <c r="D9" s="323">
        <v>417</v>
      </c>
      <c r="E9" s="324">
        <f t="shared" si="0"/>
        <v>0.1128552097428958</v>
      </c>
      <c r="F9" s="541">
        <f t="shared" si="1"/>
        <v>1.5163636363636364</v>
      </c>
      <c r="G9" s="243"/>
    </row>
    <row r="10" spans="1:7" s="17" customFormat="1" ht="18" x14ac:dyDescent="0.25">
      <c r="A10" s="53">
        <v>3</v>
      </c>
      <c r="B10" s="54" t="s">
        <v>233</v>
      </c>
      <c r="C10" s="322">
        <v>45</v>
      </c>
      <c r="D10" s="323">
        <v>72</v>
      </c>
      <c r="E10" s="324">
        <f t="shared" si="0"/>
        <v>1.9485791610284169E-2</v>
      </c>
      <c r="F10" s="541">
        <f t="shared" si="1"/>
        <v>1.6</v>
      </c>
      <c r="G10" s="243"/>
    </row>
    <row r="11" spans="1:7" s="17" customFormat="1" ht="18" x14ac:dyDescent="0.25">
      <c r="A11" s="53">
        <v>4</v>
      </c>
      <c r="B11" s="54" t="s">
        <v>195</v>
      </c>
      <c r="C11" s="322">
        <v>32</v>
      </c>
      <c r="D11" s="323">
        <v>63</v>
      </c>
      <c r="E11" s="324">
        <f t="shared" si="0"/>
        <v>1.7050067658998646E-2</v>
      </c>
      <c r="F11" s="541">
        <f t="shared" si="1"/>
        <v>1.96875</v>
      </c>
      <c r="G11" s="243"/>
    </row>
    <row r="12" spans="1:7" s="17" customFormat="1" ht="18" x14ac:dyDescent="0.25">
      <c r="A12" s="53">
        <v>5</v>
      </c>
      <c r="B12" s="54" t="s">
        <v>172</v>
      </c>
      <c r="C12" s="322">
        <v>36</v>
      </c>
      <c r="D12" s="323">
        <v>50</v>
      </c>
      <c r="E12" s="324">
        <f t="shared" si="0"/>
        <v>1.3531799729364006E-2</v>
      </c>
      <c r="F12" s="541">
        <f t="shared" si="1"/>
        <v>1.3888888888888888</v>
      </c>
      <c r="G12" s="243"/>
    </row>
    <row r="13" spans="1:7" s="17" customFormat="1" ht="18" x14ac:dyDescent="0.25">
      <c r="A13" s="53">
        <v>6</v>
      </c>
      <c r="B13" s="54" t="s">
        <v>497</v>
      </c>
      <c r="C13" s="322">
        <v>17</v>
      </c>
      <c r="D13" s="323">
        <v>27</v>
      </c>
      <c r="E13" s="324">
        <f t="shared" si="0"/>
        <v>7.307171853856563E-3</v>
      </c>
      <c r="F13" s="541">
        <f t="shared" si="1"/>
        <v>1.588235294117647</v>
      </c>
      <c r="G13" s="243"/>
    </row>
    <row r="14" spans="1:7" s="17" customFormat="1" ht="18" x14ac:dyDescent="0.25">
      <c r="A14" s="53">
        <v>7</v>
      </c>
      <c r="B14" s="54" t="s">
        <v>252</v>
      </c>
      <c r="C14" s="322">
        <v>9</v>
      </c>
      <c r="D14" s="323">
        <v>26</v>
      </c>
      <c r="E14" s="324">
        <f t="shared" si="0"/>
        <v>7.0365358592692825E-3</v>
      </c>
      <c r="F14" s="541">
        <f t="shared" si="1"/>
        <v>2.8888888888888888</v>
      </c>
      <c r="G14" s="243"/>
    </row>
    <row r="15" spans="1:7" s="17" customFormat="1" ht="18" x14ac:dyDescent="0.25">
      <c r="A15" s="53">
        <v>8</v>
      </c>
      <c r="B15" s="54" t="s">
        <v>319</v>
      </c>
      <c r="C15" s="322">
        <v>18</v>
      </c>
      <c r="D15" s="323">
        <v>25</v>
      </c>
      <c r="E15" s="324">
        <f t="shared" si="0"/>
        <v>6.7658998646820028E-3</v>
      </c>
      <c r="F15" s="541">
        <f t="shared" si="1"/>
        <v>1.3888888888888888</v>
      </c>
      <c r="G15" s="243"/>
    </row>
    <row r="16" spans="1:7" s="17" customFormat="1" ht="18" x14ac:dyDescent="0.25">
      <c r="A16" s="53">
        <v>9</v>
      </c>
      <c r="B16" s="54" t="s">
        <v>234</v>
      </c>
      <c r="C16" s="322">
        <v>12</v>
      </c>
      <c r="D16" s="323">
        <v>22</v>
      </c>
      <c r="E16" s="324">
        <f t="shared" si="0"/>
        <v>5.953991880920162E-3</v>
      </c>
      <c r="F16" s="541">
        <f t="shared" si="1"/>
        <v>1.8333333333333333</v>
      </c>
      <c r="G16" s="243"/>
    </row>
    <row r="17" spans="1:7" s="17" customFormat="1" ht="18" x14ac:dyDescent="0.25">
      <c r="A17" s="53">
        <v>10</v>
      </c>
      <c r="B17" s="54" t="s">
        <v>238</v>
      </c>
      <c r="C17" s="322">
        <v>3</v>
      </c>
      <c r="D17" s="323">
        <v>21</v>
      </c>
      <c r="E17" s="324">
        <f t="shared" si="0"/>
        <v>5.6833558863328823E-3</v>
      </c>
      <c r="F17" s="541">
        <f t="shared" si="1"/>
        <v>7</v>
      </c>
      <c r="G17" s="243"/>
    </row>
    <row r="18" spans="1:7" s="17" customFormat="1" ht="18" x14ac:dyDescent="0.25">
      <c r="A18" s="53">
        <v>11</v>
      </c>
      <c r="B18" s="54" t="s">
        <v>188</v>
      </c>
      <c r="C18" s="322">
        <v>15</v>
      </c>
      <c r="D18" s="323">
        <v>18</v>
      </c>
      <c r="E18" s="324">
        <f t="shared" si="0"/>
        <v>4.8714479025710423E-3</v>
      </c>
      <c r="F18" s="541">
        <f t="shared" si="1"/>
        <v>1.2</v>
      </c>
      <c r="G18" s="243"/>
    </row>
    <row r="19" spans="1:7" s="17" customFormat="1" ht="18" x14ac:dyDescent="0.25">
      <c r="A19" s="53">
        <v>12</v>
      </c>
      <c r="B19" s="54" t="s">
        <v>205</v>
      </c>
      <c r="C19" s="322">
        <v>9</v>
      </c>
      <c r="D19" s="323">
        <v>18</v>
      </c>
      <c r="E19" s="324">
        <f t="shared" si="0"/>
        <v>4.8714479025710423E-3</v>
      </c>
      <c r="F19" s="541">
        <f t="shared" si="1"/>
        <v>2</v>
      </c>
      <c r="G19" s="243"/>
    </row>
    <row r="20" spans="1:7" s="17" customFormat="1" ht="18" x14ac:dyDescent="0.25">
      <c r="A20" s="53">
        <v>13</v>
      </c>
      <c r="B20" s="54" t="s">
        <v>220</v>
      </c>
      <c r="C20" s="322">
        <v>15</v>
      </c>
      <c r="D20" s="323">
        <v>17</v>
      </c>
      <c r="E20" s="324">
        <f t="shared" si="0"/>
        <v>4.6008119079837618E-3</v>
      </c>
      <c r="F20" s="541">
        <f t="shared" si="1"/>
        <v>1.1333333333333333</v>
      </c>
      <c r="G20" s="243"/>
    </row>
    <row r="21" spans="1:7" s="17" customFormat="1" ht="18" x14ac:dyDescent="0.25">
      <c r="A21" s="53">
        <v>14</v>
      </c>
      <c r="B21" s="54" t="s">
        <v>186</v>
      </c>
      <c r="C21" s="322">
        <v>13</v>
      </c>
      <c r="D21" s="323">
        <v>16</v>
      </c>
      <c r="E21" s="324">
        <f t="shared" si="0"/>
        <v>4.3301759133964821E-3</v>
      </c>
      <c r="F21" s="541">
        <f t="shared" si="1"/>
        <v>1.2307692307692308</v>
      </c>
      <c r="G21" s="243"/>
    </row>
    <row r="22" spans="1:7" s="17" customFormat="1" ht="18" x14ac:dyDescent="0.25">
      <c r="A22" s="53">
        <v>15</v>
      </c>
      <c r="B22" s="54" t="s">
        <v>168</v>
      </c>
      <c r="C22" s="322">
        <v>7</v>
      </c>
      <c r="D22" s="323">
        <v>14</v>
      </c>
      <c r="E22" s="324">
        <f t="shared" si="0"/>
        <v>3.7889039242219214E-3</v>
      </c>
      <c r="F22" s="541">
        <f t="shared" si="1"/>
        <v>2</v>
      </c>
      <c r="G22" s="243"/>
    </row>
    <row r="23" spans="1:7" s="17" customFormat="1" ht="18" x14ac:dyDescent="0.25">
      <c r="A23" s="53">
        <v>16</v>
      </c>
      <c r="B23" s="54" t="s">
        <v>182</v>
      </c>
      <c r="C23" s="322">
        <v>9</v>
      </c>
      <c r="D23" s="323">
        <v>14</v>
      </c>
      <c r="E23" s="324">
        <f t="shared" si="0"/>
        <v>3.7889039242219214E-3</v>
      </c>
      <c r="F23" s="541">
        <f t="shared" si="1"/>
        <v>1.5555555555555556</v>
      </c>
      <c r="G23" s="243"/>
    </row>
    <row r="24" spans="1:7" s="17" customFormat="1" ht="18" x14ac:dyDescent="0.25">
      <c r="A24" s="53">
        <v>17</v>
      </c>
      <c r="B24" s="54" t="s">
        <v>201</v>
      </c>
      <c r="C24" s="322">
        <v>8</v>
      </c>
      <c r="D24" s="323">
        <v>14</v>
      </c>
      <c r="E24" s="324">
        <f t="shared" si="0"/>
        <v>3.7889039242219214E-3</v>
      </c>
      <c r="F24" s="541">
        <f t="shared" si="1"/>
        <v>1.75</v>
      </c>
      <c r="G24" s="243"/>
    </row>
    <row r="25" spans="1:7" s="17" customFormat="1" ht="18" x14ac:dyDescent="0.25">
      <c r="A25" s="53">
        <v>18</v>
      </c>
      <c r="B25" s="54" t="s">
        <v>200</v>
      </c>
      <c r="C25" s="322">
        <v>9</v>
      </c>
      <c r="D25" s="323">
        <v>13</v>
      </c>
      <c r="E25" s="324">
        <f t="shared" si="0"/>
        <v>3.5182679296346412E-3</v>
      </c>
      <c r="F25" s="541">
        <f t="shared" si="1"/>
        <v>1.4444444444444444</v>
      </c>
      <c r="G25" s="243"/>
    </row>
    <row r="26" spans="1:7" s="17" customFormat="1" ht="18" x14ac:dyDescent="0.25">
      <c r="A26" s="53">
        <v>19</v>
      </c>
      <c r="B26" s="54" t="s">
        <v>209</v>
      </c>
      <c r="C26" s="322">
        <v>4</v>
      </c>
      <c r="D26" s="323">
        <v>13</v>
      </c>
      <c r="E26" s="324">
        <f t="shared" si="0"/>
        <v>3.5182679296346412E-3</v>
      </c>
      <c r="F26" s="541">
        <f t="shared" si="1"/>
        <v>3.25</v>
      </c>
      <c r="G26" s="243"/>
    </row>
    <row r="27" spans="1:7" s="17" customFormat="1" ht="18" x14ac:dyDescent="0.25">
      <c r="A27" s="53">
        <v>20</v>
      </c>
      <c r="B27" s="54" t="s">
        <v>264</v>
      </c>
      <c r="C27" s="322">
        <v>4</v>
      </c>
      <c r="D27" s="323">
        <v>12</v>
      </c>
      <c r="E27" s="324">
        <f t="shared" si="0"/>
        <v>3.2476319350473611E-3</v>
      </c>
      <c r="F27" s="541">
        <f t="shared" si="1"/>
        <v>3</v>
      </c>
      <c r="G27" s="243"/>
    </row>
    <row r="28" spans="1:7" s="17" customFormat="1" ht="18" x14ac:dyDescent="0.25">
      <c r="A28" s="53">
        <v>21</v>
      </c>
      <c r="B28" s="54" t="s">
        <v>189</v>
      </c>
      <c r="C28" s="322">
        <v>9</v>
      </c>
      <c r="D28" s="323">
        <v>10</v>
      </c>
      <c r="E28" s="324">
        <f t="shared" si="0"/>
        <v>2.7063599458728013E-3</v>
      </c>
      <c r="F28" s="541">
        <f t="shared" si="1"/>
        <v>1.1111111111111112</v>
      </c>
      <c r="G28" s="243"/>
    </row>
    <row r="29" spans="1:7" s="17" customFormat="1" ht="18" x14ac:dyDescent="0.25">
      <c r="A29" s="53">
        <v>22</v>
      </c>
      <c r="B29" s="54" t="s">
        <v>230</v>
      </c>
      <c r="C29" s="322">
        <v>6</v>
      </c>
      <c r="D29" s="323">
        <v>10</v>
      </c>
      <c r="E29" s="324">
        <f t="shared" si="0"/>
        <v>2.7063599458728013E-3</v>
      </c>
      <c r="F29" s="541">
        <f t="shared" si="1"/>
        <v>1.6666666666666667</v>
      </c>
      <c r="G29" s="243"/>
    </row>
    <row r="30" spans="1:7" s="17" customFormat="1" ht="18" x14ac:dyDescent="0.25">
      <c r="A30" s="53">
        <v>23</v>
      </c>
      <c r="B30" s="54" t="s">
        <v>240</v>
      </c>
      <c r="C30" s="322">
        <v>6</v>
      </c>
      <c r="D30" s="323">
        <v>10</v>
      </c>
      <c r="E30" s="324">
        <f t="shared" si="0"/>
        <v>2.7063599458728013E-3</v>
      </c>
      <c r="F30" s="541">
        <f t="shared" si="1"/>
        <v>1.6666666666666667</v>
      </c>
      <c r="G30" s="243"/>
    </row>
    <row r="31" spans="1:7" s="17" customFormat="1" ht="18" x14ac:dyDescent="0.25">
      <c r="A31" s="53">
        <v>24</v>
      </c>
      <c r="B31" s="54" t="s">
        <v>309</v>
      </c>
      <c r="C31" s="322">
        <v>2</v>
      </c>
      <c r="D31" s="323">
        <v>8</v>
      </c>
      <c r="E31" s="324">
        <f t="shared" si="0"/>
        <v>2.165087956698241E-3</v>
      </c>
      <c r="F31" s="541">
        <f t="shared" si="1"/>
        <v>4</v>
      </c>
      <c r="G31" s="243"/>
    </row>
    <row r="32" spans="1:7" s="17" customFormat="1" ht="18" x14ac:dyDescent="0.25">
      <c r="A32" s="53">
        <v>25</v>
      </c>
      <c r="B32" s="54" t="s">
        <v>243</v>
      </c>
      <c r="C32" s="322">
        <v>4</v>
      </c>
      <c r="D32" s="323">
        <v>7</v>
      </c>
      <c r="E32" s="324">
        <f t="shared" si="0"/>
        <v>1.8944519621109607E-3</v>
      </c>
      <c r="F32" s="541">
        <f t="shared" si="1"/>
        <v>1.75</v>
      </c>
      <c r="G32" s="243"/>
    </row>
    <row r="33" spans="1:7" s="17" customFormat="1" ht="18" x14ac:dyDescent="0.25">
      <c r="A33" s="53">
        <v>26</v>
      </c>
      <c r="B33" s="54" t="s">
        <v>197</v>
      </c>
      <c r="C33" s="322">
        <v>4</v>
      </c>
      <c r="D33" s="323">
        <v>6</v>
      </c>
      <c r="E33" s="324">
        <f t="shared" si="0"/>
        <v>1.6238159675236806E-3</v>
      </c>
      <c r="F33" s="541">
        <f t="shared" si="1"/>
        <v>1.5</v>
      </c>
      <c r="G33" s="243"/>
    </row>
    <row r="34" spans="1:7" s="17" customFormat="1" ht="18" x14ac:dyDescent="0.25">
      <c r="A34" s="53">
        <v>27</v>
      </c>
      <c r="B34" s="54" t="s">
        <v>250</v>
      </c>
      <c r="C34" s="322">
        <v>6</v>
      </c>
      <c r="D34" s="323">
        <v>6</v>
      </c>
      <c r="E34" s="324">
        <f t="shared" si="0"/>
        <v>1.6238159675236806E-3</v>
      </c>
      <c r="F34" s="541">
        <f t="shared" si="1"/>
        <v>1</v>
      </c>
      <c r="G34" s="243"/>
    </row>
    <row r="35" spans="1:7" s="17" customFormat="1" ht="18" x14ac:dyDescent="0.25">
      <c r="A35" s="53">
        <v>28</v>
      </c>
      <c r="B35" s="54" t="s">
        <v>206</v>
      </c>
      <c r="C35" s="322">
        <v>4</v>
      </c>
      <c r="D35" s="323">
        <v>5</v>
      </c>
      <c r="E35" s="324">
        <f t="shared" si="0"/>
        <v>1.3531799729364006E-3</v>
      </c>
      <c r="F35" s="541">
        <f t="shared" si="1"/>
        <v>1.25</v>
      </c>
      <c r="G35" s="243"/>
    </row>
    <row r="36" spans="1:7" s="17" customFormat="1" ht="18" x14ac:dyDescent="0.25">
      <c r="A36" s="53">
        <v>29</v>
      </c>
      <c r="B36" s="54" t="s">
        <v>217</v>
      </c>
      <c r="C36" s="322">
        <v>4</v>
      </c>
      <c r="D36" s="323">
        <v>5</v>
      </c>
      <c r="E36" s="324">
        <f t="shared" si="0"/>
        <v>1.3531799729364006E-3</v>
      </c>
      <c r="F36" s="541">
        <f t="shared" si="1"/>
        <v>1.25</v>
      </c>
      <c r="G36" s="243"/>
    </row>
    <row r="37" spans="1:7" s="17" customFormat="1" ht="18" x14ac:dyDescent="0.25">
      <c r="A37" s="53">
        <v>30</v>
      </c>
      <c r="B37" s="54" t="s">
        <v>226</v>
      </c>
      <c r="C37" s="322">
        <v>1</v>
      </c>
      <c r="D37" s="323">
        <v>5</v>
      </c>
      <c r="E37" s="324">
        <f t="shared" si="0"/>
        <v>1.3531799729364006E-3</v>
      </c>
      <c r="F37" s="541">
        <f t="shared" si="1"/>
        <v>5</v>
      </c>
      <c r="G37" s="243"/>
    </row>
    <row r="38" spans="1:7" s="17" customFormat="1" ht="18" x14ac:dyDescent="0.25">
      <c r="A38" s="53">
        <v>31</v>
      </c>
      <c r="B38" s="54" t="s">
        <v>193</v>
      </c>
      <c r="C38" s="322">
        <v>2</v>
      </c>
      <c r="D38" s="323">
        <v>4</v>
      </c>
      <c r="E38" s="324">
        <f t="shared" si="0"/>
        <v>1.0825439783491205E-3</v>
      </c>
      <c r="F38" s="541">
        <f t="shared" si="1"/>
        <v>2</v>
      </c>
      <c r="G38" s="243"/>
    </row>
    <row r="39" spans="1:7" s="17" customFormat="1" ht="18" x14ac:dyDescent="0.25">
      <c r="A39" s="53">
        <v>32</v>
      </c>
      <c r="B39" s="54" t="s">
        <v>194</v>
      </c>
      <c r="C39" s="322">
        <v>1</v>
      </c>
      <c r="D39" s="323">
        <v>4</v>
      </c>
      <c r="E39" s="324">
        <f t="shared" si="0"/>
        <v>1.0825439783491205E-3</v>
      </c>
      <c r="F39" s="541">
        <f t="shared" si="1"/>
        <v>4</v>
      </c>
      <c r="G39" s="243"/>
    </row>
    <row r="40" spans="1:7" s="17" customFormat="1" ht="18" x14ac:dyDescent="0.25">
      <c r="A40" s="53">
        <v>33</v>
      </c>
      <c r="B40" s="54" t="s">
        <v>310</v>
      </c>
      <c r="C40" s="322">
        <v>2</v>
      </c>
      <c r="D40" s="323">
        <v>4</v>
      </c>
      <c r="E40" s="324">
        <f t="shared" ref="E40:E71" si="2">D40/$D$7</f>
        <v>1.0825439783491205E-3</v>
      </c>
      <c r="F40" s="541">
        <f t="shared" si="1"/>
        <v>2</v>
      </c>
      <c r="G40" s="243"/>
    </row>
    <row r="41" spans="1:7" s="17" customFormat="1" ht="18" x14ac:dyDescent="0.25">
      <c r="A41" s="53">
        <v>34</v>
      </c>
      <c r="B41" s="54" t="s">
        <v>247</v>
      </c>
      <c r="C41" s="322">
        <v>2</v>
      </c>
      <c r="D41" s="323">
        <v>4</v>
      </c>
      <c r="E41" s="324">
        <f t="shared" si="2"/>
        <v>1.0825439783491205E-3</v>
      </c>
      <c r="F41" s="541">
        <f t="shared" si="1"/>
        <v>2</v>
      </c>
      <c r="G41" s="243"/>
    </row>
    <row r="42" spans="1:7" s="17" customFormat="1" ht="18" x14ac:dyDescent="0.25">
      <c r="A42" s="53">
        <v>35</v>
      </c>
      <c r="B42" s="54" t="s">
        <v>171</v>
      </c>
      <c r="C42" s="322">
        <v>1</v>
      </c>
      <c r="D42" s="323">
        <v>3</v>
      </c>
      <c r="E42" s="324">
        <f t="shared" si="2"/>
        <v>8.1190798376184028E-4</v>
      </c>
      <c r="F42" s="541">
        <f t="shared" si="1"/>
        <v>3</v>
      </c>
      <c r="G42" s="243"/>
    </row>
    <row r="43" spans="1:7" s="17" customFormat="1" ht="18" x14ac:dyDescent="0.25">
      <c r="A43" s="53">
        <v>36</v>
      </c>
      <c r="B43" s="54" t="s">
        <v>263</v>
      </c>
      <c r="C43" s="322">
        <v>1</v>
      </c>
      <c r="D43" s="323">
        <v>3</v>
      </c>
      <c r="E43" s="324">
        <f t="shared" si="2"/>
        <v>8.1190798376184028E-4</v>
      </c>
      <c r="F43" s="541">
        <f t="shared" si="1"/>
        <v>3</v>
      </c>
      <c r="G43" s="243"/>
    </row>
    <row r="44" spans="1:7" s="17" customFormat="1" ht="18" x14ac:dyDescent="0.25">
      <c r="A44" s="53">
        <v>37</v>
      </c>
      <c r="B44" s="54" t="s">
        <v>212</v>
      </c>
      <c r="C44" s="322">
        <v>1</v>
      </c>
      <c r="D44" s="323">
        <v>3</v>
      </c>
      <c r="E44" s="324">
        <f t="shared" si="2"/>
        <v>8.1190798376184028E-4</v>
      </c>
      <c r="F44" s="541">
        <f t="shared" si="1"/>
        <v>3</v>
      </c>
      <c r="G44" s="243"/>
    </row>
    <row r="45" spans="1:7" s="17" customFormat="1" ht="18" x14ac:dyDescent="0.25">
      <c r="A45" s="53">
        <v>38</v>
      </c>
      <c r="B45" s="54" t="s">
        <v>516</v>
      </c>
      <c r="C45" s="322">
        <v>1</v>
      </c>
      <c r="D45" s="323">
        <v>2</v>
      </c>
      <c r="E45" s="324">
        <f t="shared" si="2"/>
        <v>5.4127198917456026E-4</v>
      </c>
      <c r="F45" s="541">
        <f t="shared" si="1"/>
        <v>2</v>
      </c>
      <c r="G45" s="243"/>
    </row>
    <row r="46" spans="1:7" s="17" customFormat="1" ht="18" x14ac:dyDescent="0.25">
      <c r="A46" s="53">
        <v>39</v>
      </c>
      <c r="B46" s="54" t="s">
        <v>179</v>
      </c>
      <c r="C46" s="322">
        <v>2</v>
      </c>
      <c r="D46" s="323">
        <v>2</v>
      </c>
      <c r="E46" s="324">
        <f t="shared" si="2"/>
        <v>5.4127198917456026E-4</v>
      </c>
      <c r="F46" s="541">
        <f t="shared" si="1"/>
        <v>1</v>
      </c>
      <c r="G46" s="243"/>
    </row>
    <row r="47" spans="1:7" s="17" customFormat="1" ht="18" x14ac:dyDescent="0.25">
      <c r="A47" s="53">
        <v>40</v>
      </c>
      <c r="B47" s="54" t="s">
        <v>191</v>
      </c>
      <c r="C47" s="322">
        <v>0</v>
      </c>
      <c r="D47" s="323">
        <v>2</v>
      </c>
      <c r="E47" s="324">
        <f t="shared" si="2"/>
        <v>5.4127198917456026E-4</v>
      </c>
      <c r="F47" s="541" t="str">
        <f t="shared" si="1"/>
        <v>-</v>
      </c>
      <c r="G47" s="243"/>
    </row>
    <row r="48" spans="1:7" s="17" customFormat="1" ht="18" x14ac:dyDescent="0.25">
      <c r="A48" s="53">
        <v>41</v>
      </c>
      <c r="B48" s="54" t="s">
        <v>311</v>
      </c>
      <c r="C48" s="322">
        <v>1</v>
      </c>
      <c r="D48" s="323">
        <v>2</v>
      </c>
      <c r="E48" s="324">
        <f t="shared" si="2"/>
        <v>5.4127198917456026E-4</v>
      </c>
      <c r="F48" s="541">
        <f t="shared" si="1"/>
        <v>2</v>
      </c>
      <c r="G48" s="243"/>
    </row>
    <row r="49" spans="1:7" s="17" customFormat="1" ht="18" x14ac:dyDescent="0.25">
      <c r="A49" s="53">
        <v>42</v>
      </c>
      <c r="B49" s="54" t="s">
        <v>223</v>
      </c>
      <c r="C49" s="322">
        <v>1</v>
      </c>
      <c r="D49" s="323">
        <v>2</v>
      </c>
      <c r="E49" s="324">
        <f t="shared" si="2"/>
        <v>5.4127198917456026E-4</v>
      </c>
      <c r="F49" s="541">
        <f t="shared" si="1"/>
        <v>2</v>
      </c>
      <c r="G49" s="243"/>
    </row>
    <row r="50" spans="1:7" s="17" customFormat="1" ht="18" x14ac:dyDescent="0.25">
      <c r="A50" s="53">
        <v>43</v>
      </c>
      <c r="B50" s="54" t="s">
        <v>227</v>
      </c>
      <c r="C50" s="322">
        <v>1</v>
      </c>
      <c r="D50" s="323">
        <v>2</v>
      </c>
      <c r="E50" s="324">
        <f t="shared" si="2"/>
        <v>5.4127198917456026E-4</v>
      </c>
      <c r="F50" s="541">
        <f t="shared" si="1"/>
        <v>2</v>
      </c>
      <c r="G50" s="243"/>
    </row>
    <row r="51" spans="1:7" s="17" customFormat="1" ht="18" x14ac:dyDescent="0.25">
      <c r="A51" s="53">
        <v>44</v>
      </c>
      <c r="B51" s="54" t="s">
        <v>237</v>
      </c>
      <c r="C51" s="322">
        <v>0</v>
      </c>
      <c r="D51" s="323">
        <v>2</v>
      </c>
      <c r="E51" s="324">
        <f t="shared" si="2"/>
        <v>5.4127198917456026E-4</v>
      </c>
      <c r="F51" s="541" t="str">
        <f t="shared" si="1"/>
        <v>-</v>
      </c>
      <c r="G51" s="243"/>
    </row>
    <row r="52" spans="1:7" s="17" customFormat="1" ht="18" x14ac:dyDescent="0.25">
      <c r="A52" s="53">
        <v>45</v>
      </c>
      <c r="B52" s="54" t="s">
        <v>246</v>
      </c>
      <c r="C52" s="322">
        <v>2</v>
      </c>
      <c r="D52" s="323">
        <v>2</v>
      </c>
      <c r="E52" s="324">
        <f t="shared" si="2"/>
        <v>5.4127198917456026E-4</v>
      </c>
      <c r="F52" s="541">
        <f t="shared" si="1"/>
        <v>1</v>
      </c>
      <c r="G52" s="243"/>
    </row>
    <row r="53" spans="1:7" s="17" customFormat="1" ht="18" x14ac:dyDescent="0.25">
      <c r="A53" s="53">
        <v>46</v>
      </c>
      <c r="B53" s="54" t="s">
        <v>174</v>
      </c>
      <c r="C53" s="322">
        <v>0</v>
      </c>
      <c r="D53" s="323">
        <v>1</v>
      </c>
      <c r="E53" s="324">
        <f t="shared" si="2"/>
        <v>2.7063599458728013E-4</v>
      </c>
      <c r="F53" s="541" t="str">
        <f t="shared" si="1"/>
        <v>-</v>
      </c>
      <c r="G53" s="243"/>
    </row>
    <row r="54" spans="1:7" s="17" customFormat="1" ht="18" x14ac:dyDescent="0.25">
      <c r="A54" s="53">
        <v>47</v>
      </c>
      <c r="B54" s="54" t="s">
        <v>176</v>
      </c>
      <c r="C54" s="322">
        <v>0</v>
      </c>
      <c r="D54" s="323">
        <v>1</v>
      </c>
      <c r="E54" s="324">
        <f t="shared" si="2"/>
        <v>2.7063599458728013E-4</v>
      </c>
      <c r="F54" s="541" t="str">
        <f t="shared" si="1"/>
        <v>-</v>
      </c>
      <c r="G54" s="243"/>
    </row>
    <row r="55" spans="1:7" s="17" customFormat="1" ht="18" x14ac:dyDescent="0.25">
      <c r="A55" s="53">
        <v>48</v>
      </c>
      <c r="B55" s="54" t="s">
        <v>180</v>
      </c>
      <c r="C55" s="322">
        <v>1</v>
      </c>
      <c r="D55" s="323">
        <v>1</v>
      </c>
      <c r="E55" s="324">
        <f t="shared" si="2"/>
        <v>2.7063599458728013E-4</v>
      </c>
      <c r="F55" s="541">
        <f t="shared" si="1"/>
        <v>1</v>
      </c>
      <c r="G55" s="243"/>
    </row>
    <row r="56" spans="1:7" s="17" customFormat="1" ht="18" x14ac:dyDescent="0.25">
      <c r="A56" s="53">
        <v>49</v>
      </c>
      <c r="B56" s="54" t="s">
        <v>184</v>
      </c>
      <c r="C56" s="322">
        <v>0</v>
      </c>
      <c r="D56" s="323">
        <v>1</v>
      </c>
      <c r="E56" s="324">
        <f t="shared" si="2"/>
        <v>2.7063599458728013E-4</v>
      </c>
      <c r="F56" s="541" t="str">
        <f t="shared" si="1"/>
        <v>-</v>
      </c>
      <c r="G56" s="243"/>
    </row>
    <row r="57" spans="1:7" s="17" customFormat="1" ht="18" x14ac:dyDescent="0.25">
      <c r="A57" s="53">
        <v>50</v>
      </c>
      <c r="B57" s="54" t="s">
        <v>308</v>
      </c>
      <c r="C57" s="322">
        <v>1</v>
      </c>
      <c r="D57" s="323">
        <v>1</v>
      </c>
      <c r="E57" s="324">
        <f t="shared" si="2"/>
        <v>2.7063599458728013E-4</v>
      </c>
      <c r="F57" s="541">
        <f t="shared" si="1"/>
        <v>1</v>
      </c>
      <c r="G57" s="243"/>
    </row>
    <row r="58" spans="1:7" s="17" customFormat="1" ht="18" x14ac:dyDescent="0.25">
      <c r="A58" s="53">
        <v>51</v>
      </c>
      <c r="B58" s="54" t="s">
        <v>190</v>
      </c>
      <c r="C58" s="322">
        <v>0</v>
      </c>
      <c r="D58" s="323">
        <v>1</v>
      </c>
      <c r="E58" s="324">
        <f t="shared" si="2"/>
        <v>2.7063599458728013E-4</v>
      </c>
      <c r="F58" s="541" t="str">
        <f t="shared" si="1"/>
        <v>-</v>
      </c>
      <c r="G58" s="243"/>
    </row>
    <row r="59" spans="1:7" s="17" customFormat="1" ht="18" x14ac:dyDescent="0.25">
      <c r="A59" s="53">
        <v>52</v>
      </c>
      <c r="B59" s="54" t="s">
        <v>192</v>
      </c>
      <c r="C59" s="322">
        <v>1</v>
      </c>
      <c r="D59" s="323">
        <v>1</v>
      </c>
      <c r="E59" s="324">
        <f t="shared" si="2"/>
        <v>2.7063599458728013E-4</v>
      </c>
      <c r="F59" s="541">
        <f t="shared" si="1"/>
        <v>1</v>
      </c>
      <c r="G59" s="243"/>
    </row>
    <row r="60" spans="1:7" s="17" customFormat="1" ht="18" x14ac:dyDescent="0.25">
      <c r="A60" s="53">
        <v>53</v>
      </c>
      <c r="B60" s="54" t="s">
        <v>198</v>
      </c>
      <c r="C60" s="322">
        <v>1</v>
      </c>
      <c r="D60" s="323">
        <v>1</v>
      </c>
      <c r="E60" s="324">
        <f t="shared" si="2"/>
        <v>2.7063599458728013E-4</v>
      </c>
      <c r="F60" s="541">
        <f t="shared" si="1"/>
        <v>1</v>
      </c>
      <c r="G60" s="243"/>
    </row>
    <row r="61" spans="1:7" s="17" customFormat="1" ht="18" x14ac:dyDescent="0.25">
      <c r="A61" s="53">
        <v>54</v>
      </c>
      <c r="B61" s="54" t="s">
        <v>312</v>
      </c>
      <c r="C61" s="322">
        <v>1</v>
      </c>
      <c r="D61" s="323">
        <v>1</v>
      </c>
      <c r="E61" s="324">
        <f t="shared" si="2"/>
        <v>2.7063599458728013E-4</v>
      </c>
      <c r="F61" s="541">
        <f t="shared" si="1"/>
        <v>1</v>
      </c>
      <c r="G61" s="243"/>
    </row>
    <row r="62" spans="1:7" s="17" customFormat="1" ht="18" x14ac:dyDescent="0.25">
      <c r="A62" s="53">
        <v>55</v>
      </c>
      <c r="B62" s="54" t="s">
        <v>257</v>
      </c>
      <c r="C62" s="322">
        <v>0</v>
      </c>
      <c r="D62" s="323">
        <v>1</v>
      </c>
      <c r="E62" s="324">
        <f t="shared" si="2"/>
        <v>2.7063599458728013E-4</v>
      </c>
      <c r="F62" s="541" t="str">
        <f t="shared" si="1"/>
        <v>-</v>
      </c>
      <c r="G62" s="243"/>
    </row>
    <row r="63" spans="1:7" s="17" customFormat="1" ht="18" x14ac:dyDescent="0.25">
      <c r="A63" s="53">
        <v>56</v>
      </c>
      <c r="B63" s="54" t="s">
        <v>208</v>
      </c>
      <c r="C63" s="322">
        <v>1</v>
      </c>
      <c r="D63" s="323">
        <v>1</v>
      </c>
      <c r="E63" s="324">
        <f t="shared" si="2"/>
        <v>2.7063599458728013E-4</v>
      </c>
      <c r="F63" s="541">
        <f t="shared" si="1"/>
        <v>1</v>
      </c>
      <c r="G63" s="243"/>
    </row>
    <row r="64" spans="1:7" s="17" customFormat="1" ht="18" x14ac:dyDescent="0.25">
      <c r="A64" s="53">
        <v>57</v>
      </c>
      <c r="B64" s="54" t="s">
        <v>313</v>
      </c>
      <c r="C64" s="322">
        <v>0</v>
      </c>
      <c r="D64" s="323">
        <v>1</v>
      </c>
      <c r="E64" s="324">
        <f t="shared" si="2"/>
        <v>2.7063599458728013E-4</v>
      </c>
      <c r="F64" s="541" t="str">
        <f t="shared" si="1"/>
        <v>-</v>
      </c>
      <c r="G64" s="243"/>
    </row>
    <row r="65" spans="1:7" s="17" customFormat="1" ht="18" x14ac:dyDescent="0.25">
      <c r="A65" s="53">
        <v>58</v>
      </c>
      <c r="B65" s="54" t="s">
        <v>314</v>
      </c>
      <c r="C65" s="322">
        <v>0</v>
      </c>
      <c r="D65" s="323">
        <v>1</v>
      </c>
      <c r="E65" s="324">
        <f t="shared" si="2"/>
        <v>2.7063599458728013E-4</v>
      </c>
      <c r="F65" s="541" t="str">
        <f t="shared" si="1"/>
        <v>-</v>
      </c>
      <c r="G65" s="243"/>
    </row>
    <row r="66" spans="1:7" s="17" customFormat="1" ht="18" x14ac:dyDescent="0.25">
      <c r="A66" s="53">
        <v>59</v>
      </c>
      <c r="B66" s="54" t="s">
        <v>315</v>
      </c>
      <c r="C66" s="322">
        <v>0</v>
      </c>
      <c r="D66" s="323">
        <v>1</v>
      </c>
      <c r="E66" s="324">
        <f t="shared" si="2"/>
        <v>2.7063599458728013E-4</v>
      </c>
      <c r="F66" s="541" t="str">
        <f t="shared" si="1"/>
        <v>-</v>
      </c>
      <c r="G66" s="243"/>
    </row>
    <row r="67" spans="1:7" s="17" customFormat="1" ht="18" x14ac:dyDescent="0.25">
      <c r="A67" s="53">
        <v>60</v>
      </c>
      <c r="B67" s="54" t="s">
        <v>316</v>
      </c>
      <c r="C67" s="322">
        <v>1</v>
      </c>
      <c r="D67" s="323">
        <v>1</v>
      </c>
      <c r="E67" s="324">
        <f t="shared" si="2"/>
        <v>2.7063599458728013E-4</v>
      </c>
      <c r="F67" s="541">
        <f t="shared" si="1"/>
        <v>1</v>
      </c>
      <c r="G67" s="243"/>
    </row>
    <row r="68" spans="1:7" s="17" customFormat="1" ht="18" x14ac:dyDescent="0.25">
      <c r="A68" s="53">
        <v>61</v>
      </c>
      <c r="B68" s="54" t="s">
        <v>218</v>
      </c>
      <c r="C68" s="322">
        <v>0</v>
      </c>
      <c r="D68" s="323">
        <v>1</v>
      </c>
      <c r="E68" s="324">
        <f t="shared" si="2"/>
        <v>2.7063599458728013E-4</v>
      </c>
      <c r="F68" s="541" t="str">
        <f t="shared" si="1"/>
        <v>-</v>
      </c>
      <c r="G68" s="243"/>
    </row>
    <row r="69" spans="1:7" s="17" customFormat="1" ht="18" x14ac:dyDescent="0.25">
      <c r="A69" s="53">
        <v>62</v>
      </c>
      <c r="B69" s="54" t="s">
        <v>221</v>
      </c>
      <c r="C69" s="322">
        <v>0</v>
      </c>
      <c r="D69" s="323">
        <v>1</v>
      </c>
      <c r="E69" s="324">
        <f t="shared" si="2"/>
        <v>2.7063599458728013E-4</v>
      </c>
      <c r="F69" s="541" t="str">
        <f t="shared" si="1"/>
        <v>-</v>
      </c>
      <c r="G69" s="243"/>
    </row>
    <row r="70" spans="1:7" s="17" customFormat="1" ht="18" x14ac:dyDescent="0.25">
      <c r="A70" s="53">
        <v>63</v>
      </c>
      <c r="B70" s="54" t="s">
        <v>317</v>
      </c>
      <c r="C70" s="322">
        <v>1</v>
      </c>
      <c r="D70" s="323">
        <v>1</v>
      </c>
      <c r="E70" s="324">
        <f t="shared" si="2"/>
        <v>2.7063599458728013E-4</v>
      </c>
      <c r="F70" s="541">
        <f t="shared" si="1"/>
        <v>1</v>
      </c>
      <c r="G70" s="243"/>
    </row>
    <row r="71" spans="1:7" s="17" customFormat="1" ht="18" x14ac:dyDescent="0.25">
      <c r="A71" s="53">
        <v>64</v>
      </c>
      <c r="B71" s="54" t="s">
        <v>229</v>
      </c>
      <c r="C71" s="322">
        <v>1</v>
      </c>
      <c r="D71" s="323">
        <v>1</v>
      </c>
      <c r="E71" s="324">
        <f t="shared" si="2"/>
        <v>2.7063599458728013E-4</v>
      </c>
      <c r="F71" s="541">
        <f t="shared" si="1"/>
        <v>1</v>
      </c>
      <c r="G71" s="243"/>
    </row>
    <row r="72" spans="1:7" s="17" customFormat="1" ht="18" x14ac:dyDescent="0.25">
      <c r="A72" s="53">
        <v>65</v>
      </c>
      <c r="B72" s="54" t="s">
        <v>231</v>
      </c>
      <c r="C72" s="322">
        <v>1</v>
      </c>
      <c r="D72" s="323">
        <v>1</v>
      </c>
      <c r="E72" s="324">
        <f t="shared" ref="E72:E74" si="3">D72/$D$7</f>
        <v>2.7063599458728013E-4</v>
      </c>
      <c r="F72" s="541">
        <f t="shared" ref="F72:F74" si="4">IFERROR(D72/C72, "-")</f>
        <v>1</v>
      </c>
      <c r="G72" s="243"/>
    </row>
    <row r="73" spans="1:7" s="17" customFormat="1" ht="18" x14ac:dyDescent="0.25">
      <c r="A73" s="53">
        <v>66</v>
      </c>
      <c r="B73" s="54" t="s">
        <v>236</v>
      </c>
      <c r="C73" s="322">
        <v>0</v>
      </c>
      <c r="D73" s="323">
        <v>1</v>
      </c>
      <c r="E73" s="324">
        <f t="shared" si="3"/>
        <v>2.7063599458728013E-4</v>
      </c>
      <c r="F73" s="541" t="str">
        <f t="shared" si="4"/>
        <v>-</v>
      </c>
      <c r="G73" s="243"/>
    </row>
    <row r="74" spans="1:7" s="17" customFormat="1" ht="18" x14ac:dyDescent="0.25">
      <c r="A74" s="53">
        <v>67</v>
      </c>
      <c r="B74" s="54" t="s">
        <v>248</v>
      </c>
      <c r="C74" s="322">
        <v>1</v>
      </c>
      <c r="D74" s="323">
        <v>1</v>
      </c>
      <c r="E74" s="324">
        <f t="shared" si="3"/>
        <v>2.7063599458728013E-4</v>
      </c>
      <c r="F74" s="541">
        <f t="shared" si="4"/>
        <v>1</v>
      </c>
      <c r="G74" s="243"/>
    </row>
  </sheetData>
  <sortState ref="B8:F74">
    <sortCondition descending="1" ref="D8:D74"/>
  </sortState>
  <mergeCells count="1">
    <mergeCell ref="A3:F3"/>
  </mergeCells>
  <printOptions horizontalCentered="1"/>
  <pageMargins left="0.31496062992125984" right="0.31496062992125984" top="0.35433070866141736" bottom="0.35433070866141736" header="0.31496062992125984" footer="0.31496062992125984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8"/>
  </sheetPr>
  <dimension ref="A1:H32"/>
  <sheetViews>
    <sheetView zoomScaleNormal="100" workbookViewId="0">
      <selection activeCell="H7" sqref="H7"/>
    </sheetView>
  </sheetViews>
  <sheetFormatPr defaultRowHeight="14.25" x14ac:dyDescent="0.2"/>
  <cols>
    <col min="1" max="1" width="6" style="3" bestFit="1" customWidth="1"/>
    <col min="2" max="2" width="42.85546875" style="2" customWidth="1"/>
    <col min="3" max="4" width="12.7109375" style="2" customWidth="1"/>
    <col min="5" max="5" width="12.7109375" style="9" customWidth="1"/>
    <col min="6" max="6" width="12.7109375" style="2" customWidth="1"/>
    <col min="7" max="16384" width="9.140625" style="2"/>
  </cols>
  <sheetData>
    <row r="1" spans="1:8" ht="18.75" x14ac:dyDescent="0.2">
      <c r="F1" s="24" t="s">
        <v>322</v>
      </c>
    </row>
    <row r="3" spans="1:8" ht="39.75" customHeight="1" x14ac:dyDescent="0.2">
      <c r="A3" s="556" t="s">
        <v>574</v>
      </c>
      <c r="B3" s="556"/>
      <c r="C3" s="556"/>
      <c r="D3" s="556"/>
      <c r="E3" s="556"/>
      <c r="F3" s="556"/>
    </row>
    <row r="4" spans="1:8" ht="15.75" thickBot="1" x14ac:dyDescent="0.25">
      <c r="F4" s="45" t="s">
        <v>323</v>
      </c>
    </row>
    <row r="5" spans="1:8" s="1" customFormat="1" ht="38.25" customHeight="1" thickBot="1" x14ac:dyDescent="0.3">
      <c r="A5" s="46" t="s">
        <v>93</v>
      </c>
      <c r="B5" s="47" t="s">
        <v>153</v>
      </c>
      <c r="C5" s="49" t="str">
        <f>'2-жадвал'!C5</f>
        <v>2024-йил</v>
      </c>
      <c r="D5" s="49" t="str">
        <f>'2-жадвал'!D5</f>
        <v>2025-йил</v>
      </c>
      <c r="E5" s="48" t="s">
        <v>156</v>
      </c>
      <c r="F5" s="50" t="s">
        <v>379</v>
      </c>
    </row>
    <row r="6" spans="1:8" s="1" customFormat="1" ht="6.75" customHeight="1" x14ac:dyDescent="0.25">
      <c r="A6" s="62"/>
      <c r="B6" s="63"/>
      <c r="C6" s="63"/>
      <c r="D6" s="63"/>
      <c r="E6" s="63"/>
      <c r="F6" s="64"/>
    </row>
    <row r="7" spans="1:8" s="17" customFormat="1" ht="49.5" x14ac:dyDescent="0.3">
      <c r="A7" s="37">
        <v>1</v>
      </c>
      <c r="B7" s="70" t="s">
        <v>530</v>
      </c>
      <c r="C7" s="513">
        <v>123</v>
      </c>
      <c r="D7" s="513">
        <v>137</v>
      </c>
      <c r="E7" s="514">
        <f>E9+E10</f>
        <v>1</v>
      </c>
      <c r="F7" s="515">
        <f>IFERROR(D7/C7, "-")</f>
        <v>1.1138211382113821</v>
      </c>
      <c r="G7" s="5"/>
      <c r="H7" s="19"/>
    </row>
    <row r="8" spans="1:8" s="17" customFormat="1" ht="18" x14ac:dyDescent="0.25">
      <c r="A8" s="23"/>
      <c r="B8" s="66" t="s">
        <v>146</v>
      </c>
      <c r="C8" s="516"/>
      <c r="D8" s="516"/>
      <c r="E8" s="517"/>
      <c r="F8" s="515"/>
      <c r="G8" s="5"/>
    </row>
    <row r="9" spans="1:8" s="19" customFormat="1" ht="38.25" customHeight="1" x14ac:dyDescent="0.3">
      <c r="A9" s="73" t="s">
        <v>3</v>
      </c>
      <c r="B9" s="527" t="s">
        <v>531</v>
      </c>
      <c r="C9" s="518">
        <v>96</v>
      </c>
      <c r="D9" s="518">
        <v>113</v>
      </c>
      <c r="E9" s="519">
        <f>D9/$D$7</f>
        <v>0.82481751824817517</v>
      </c>
      <c r="F9" s="520">
        <f t="shared" ref="F9:F11" si="0">IFERROR(D9/C9, "-")</f>
        <v>1.1770833333333333</v>
      </c>
      <c r="G9" s="319"/>
    </row>
    <row r="10" spans="1:8" s="19" customFormat="1" ht="38.25" customHeight="1" x14ac:dyDescent="0.3">
      <c r="A10" s="73" t="s">
        <v>4</v>
      </c>
      <c r="B10" s="67" t="s">
        <v>532</v>
      </c>
      <c r="C10" s="521">
        <v>27</v>
      </c>
      <c r="D10" s="521">
        <v>24</v>
      </c>
      <c r="E10" s="522">
        <f>D10/$D$7</f>
        <v>0.17518248175182483</v>
      </c>
      <c r="F10" s="523">
        <f t="shared" si="0"/>
        <v>0.88888888888888884</v>
      </c>
      <c r="G10" s="319"/>
    </row>
    <row r="11" spans="1:8" s="19" customFormat="1" ht="38.25" customHeight="1" x14ac:dyDescent="0.3">
      <c r="A11" s="23" t="s">
        <v>6</v>
      </c>
      <c r="B11" s="65" t="s">
        <v>477</v>
      </c>
      <c r="C11" s="521">
        <v>3</v>
      </c>
      <c r="D11" s="521">
        <v>28</v>
      </c>
      <c r="E11" s="522">
        <f>D11/$D$7</f>
        <v>0.20437956204379562</v>
      </c>
      <c r="F11" s="523">
        <f t="shared" si="0"/>
        <v>9.3333333333333339</v>
      </c>
      <c r="G11" s="319"/>
    </row>
    <row r="12" spans="1:8" s="19" customFormat="1" ht="38.25" customHeight="1" x14ac:dyDescent="0.3">
      <c r="A12" s="26"/>
      <c r="B12" s="68"/>
      <c r="C12" s="320"/>
      <c r="D12" s="320"/>
      <c r="E12" s="320"/>
      <c r="F12" s="320"/>
      <c r="G12" s="319"/>
    </row>
    <row r="13" spans="1:8" s="19" customFormat="1" ht="38.25" customHeight="1" x14ac:dyDescent="0.3">
      <c r="A13" s="556" t="s">
        <v>522</v>
      </c>
      <c r="B13" s="556"/>
      <c r="C13" s="556"/>
      <c r="D13" s="556"/>
      <c r="E13" s="556"/>
      <c r="F13" s="556"/>
    </row>
    <row r="14" spans="1:8" ht="15.75" thickBot="1" x14ac:dyDescent="0.25">
      <c r="F14" s="45" t="s">
        <v>323</v>
      </c>
    </row>
    <row r="15" spans="1:8" ht="38.25" customHeight="1" thickBot="1" x14ac:dyDescent="0.25">
      <c r="A15" s="46" t="s">
        <v>93</v>
      </c>
      <c r="B15" s="47" t="s">
        <v>153</v>
      </c>
      <c r="C15" s="49" t="str">
        <f>'2-жадвал'!C5</f>
        <v>2024-йил</v>
      </c>
      <c r="D15" s="49" t="str">
        <f>'2-жадвал'!D5</f>
        <v>2025-йил</v>
      </c>
      <c r="E15" s="48" t="s">
        <v>156</v>
      </c>
      <c r="F15" s="50" t="s">
        <v>379</v>
      </c>
    </row>
    <row r="16" spans="1:8" ht="6" customHeight="1" x14ac:dyDescent="0.2"/>
    <row r="17" spans="1:7" ht="38.25" customHeight="1" x14ac:dyDescent="0.2">
      <c r="A17" s="37">
        <v>1</v>
      </c>
      <c r="B17" s="70" t="s">
        <v>324</v>
      </c>
      <c r="C17" s="513">
        <f>SUM(C19:C24)</f>
        <v>276</v>
      </c>
      <c r="D17" s="516">
        <f>SUM(D19:D24)</f>
        <v>789</v>
      </c>
      <c r="E17" s="514">
        <f>SUM(E18:E24)</f>
        <v>1</v>
      </c>
      <c r="F17" s="515">
        <f>IFERROR(D17/C17, "-")</f>
        <v>2.8586956521739131</v>
      </c>
      <c r="G17" s="524"/>
    </row>
    <row r="18" spans="1:7" ht="21.75" customHeight="1" x14ac:dyDescent="0.2">
      <c r="A18" s="23"/>
      <c r="B18" s="486" t="s">
        <v>520</v>
      </c>
      <c r="C18" s="516"/>
      <c r="D18" s="516"/>
      <c r="E18" s="517"/>
      <c r="F18" s="515"/>
      <c r="G18" s="524"/>
    </row>
    <row r="19" spans="1:7" ht="38.25" customHeight="1" x14ac:dyDescent="0.2">
      <c r="A19" s="74" t="s">
        <v>3</v>
      </c>
      <c r="B19" s="69" t="s">
        <v>521</v>
      </c>
      <c r="C19" s="521">
        <v>183</v>
      </c>
      <c r="D19" s="521">
        <v>364</v>
      </c>
      <c r="E19" s="525">
        <f t="shared" ref="E19:E24" si="1">D19/$D$17</f>
        <v>0.46134347275031684</v>
      </c>
      <c r="F19" s="523">
        <f t="shared" ref="F19:F24" si="2">IFERROR(D19/C19, "-")</f>
        <v>1.9890710382513661</v>
      </c>
      <c r="G19" s="524"/>
    </row>
    <row r="20" spans="1:7" ht="38.25" customHeight="1" x14ac:dyDescent="0.2">
      <c r="A20" s="74" t="s">
        <v>4</v>
      </c>
      <c r="B20" s="69" t="s">
        <v>326</v>
      </c>
      <c r="C20" s="521">
        <v>48</v>
      </c>
      <c r="D20" s="521">
        <v>267</v>
      </c>
      <c r="E20" s="525">
        <f t="shared" si="1"/>
        <v>0.33840304182509506</v>
      </c>
      <c r="F20" s="523">
        <f t="shared" si="2"/>
        <v>5.5625</v>
      </c>
      <c r="G20" s="524"/>
    </row>
    <row r="21" spans="1:7" ht="38.25" customHeight="1" x14ac:dyDescent="0.2">
      <c r="A21" s="74" t="s">
        <v>5</v>
      </c>
      <c r="B21" s="69" t="s">
        <v>328</v>
      </c>
      <c r="C21" s="521">
        <v>11</v>
      </c>
      <c r="D21" s="521">
        <v>58</v>
      </c>
      <c r="E21" s="525">
        <f t="shared" si="1"/>
        <v>7.3510773130544993E-2</v>
      </c>
      <c r="F21" s="523">
        <f t="shared" si="2"/>
        <v>5.2727272727272725</v>
      </c>
      <c r="G21" s="524"/>
    </row>
    <row r="22" spans="1:7" ht="38.25" customHeight="1" x14ac:dyDescent="0.2">
      <c r="A22" s="74" t="s">
        <v>29</v>
      </c>
      <c r="B22" s="69" t="s">
        <v>325</v>
      </c>
      <c r="C22" s="521">
        <v>10</v>
      </c>
      <c r="D22" s="521">
        <v>38</v>
      </c>
      <c r="E22" s="525">
        <f t="shared" si="1"/>
        <v>4.8162230671736375E-2</v>
      </c>
      <c r="F22" s="523">
        <f t="shared" si="2"/>
        <v>3.8</v>
      </c>
      <c r="G22" s="524"/>
    </row>
    <row r="23" spans="1:7" ht="38.25" customHeight="1" x14ac:dyDescent="0.2">
      <c r="A23" s="74" t="s">
        <v>30</v>
      </c>
      <c r="B23" s="69" t="s">
        <v>327</v>
      </c>
      <c r="C23" s="521">
        <v>8</v>
      </c>
      <c r="D23" s="521">
        <v>18</v>
      </c>
      <c r="E23" s="525">
        <f t="shared" si="1"/>
        <v>2.2813688212927757E-2</v>
      </c>
      <c r="F23" s="523">
        <f t="shared" si="2"/>
        <v>2.25</v>
      </c>
      <c r="G23" s="524"/>
    </row>
    <row r="24" spans="1:7" ht="38.25" customHeight="1" x14ac:dyDescent="0.2">
      <c r="A24" s="74" t="s">
        <v>32</v>
      </c>
      <c r="B24" s="69" t="s">
        <v>329</v>
      </c>
      <c r="C24" s="521">
        <v>16</v>
      </c>
      <c r="D24" s="521">
        <v>44</v>
      </c>
      <c r="E24" s="525">
        <f t="shared" si="1"/>
        <v>5.5766793409378963E-2</v>
      </c>
      <c r="F24" s="523">
        <f t="shared" si="2"/>
        <v>2.75</v>
      </c>
      <c r="G24" s="524"/>
    </row>
    <row r="25" spans="1:7" x14ac:dyDescent="0.2">
      <c r="C25" s="524"/>
      <c r="D25" s="524"/>
      <c r="E25" s="526"/>
      <c r="F25" s="524"/>
      <c r="G25" s="524"/>
    </row>
    <row r="26" spans="1:7" x14ac:dyDescent="0.2">
      <c r="C26" s="524"/>
      <c r="D26" s="524"/>
      <c r="E26" s="526"/>
      <c r="F26" s="524"/>
      <c r="G26" s="524"/>
    </row>
    <row r="27" spans="1:7" x14ac:dyDescent="0.2">
      <c r="C27" s="524"/>
      <c r="D27" s="524"/>
      <c r="E27" s="526"/>
      <c r="F27" s="524"/>
      <c r="G27" s="524"/>
    </row>
    <row r="28" spans="1:7" x14ac:dyDescent="0.2">
      <c r="C28" s="524"/>
      <c r="D28" s="524"/>
      <c r="E28" s="526"/>
      <c r="F28" s="524"/>
      <c r="G28" s="524"/>
    </row>
    <row r="29" spans="1:7" x14ac:dyDescent="0.2">
      <c r="C29" s="524"/>
      <c r="D29" s="524"/>
      <c r="E29" s="526"/>
      <c r="F29" s="524"/>
      <c r="G29" s="524"/>
    </row>
    <row r="30" spans="1:7" x14ac:dyDescent="0.2">
      <c r="C30" s="524"/>
      <c r="D30" s="524"/>
      <c r="E30" s="526"/>
      <c r="F30" s="524"/>
      <c r="G30" s="524"/>
    </row>
    <row r="31" spans="1:7" x14ac:dyDescent="0.2">
      <c r="C31" s="524"/>
      <c r="D31" s="524"/>
      <c r="E31" s="526"/>
      <c r="F31" s="524"/>
      <c r="G31" s="524"/>
    </row>
    <row r="32" spans="1:7" x14ac:dyDescent="0.2">
      <c r="C32" s="524"/>
      <c r="D32" s="524"/>
      <c r="E32" s="526"/>
      <c r="F32" s="524"/>
      <c r="G32" s="524"/>
    </row>
  </sheetData>
  <sortState ref="B19:F24">
    <sortCondition descending="1" ref="D19:D24"/>
  </sortState>
  <mergeCells count="2">
    <mergeCell ref="A13:F13"/>
    <mergeCell ref="A3:F3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5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8"/>
  </sheetPr>
  <dimension ref="A1:F41"/>
  <sheetViews>
    <sheetView zoomScale="90" zoomScaleNormal="90" workbookViewId="0">
      <pane ySplit="7" topLeftCell="A8" activePane="bottomLeft" state="frozen"/>
      <selection activeCell="A2" sqref="A2:I2"/>
      <selection pane="bottomLeft" activeCell="J5" sqref="J5"/>
    </sheetView>
  </sheetViews>
  <sheetFormatPr defaultRowHeight="15" x14ac:dyDescent="0.25"/>
  <cols>
    <col min="1" max="1" width="6.7109375" bestFit="1" customWidth="1"/>
    <col min="2" max="2" width="32.42578125" bestFit="1" customWidth="1"/>
    <col min="3" max="3" width="12.7109375" customWidth="1"/>
    <col min="4" max="4" width="17.140625" customWidth="1"/>
    <col min="5" max="5" width="16.28515625" customWidth="1"/>
    <col min="6" max="6" width="10.28515625" customWidth="1"/>
  </cols>
  <sheetData>
    <row r="1" spans="1:6" x14ac:dyDescent="0.25">
      <c r="A1" s="9"/>
      <c r="B1" s="2"/>
      <c r="C1" s="2"/>
      <c r="D1" s="2"/>
      <c r="E1" s="2"/>
      <c r="F1" s="71" t="s">
        <v>330</v>
      </c>
    </row>
    <row r="2" spans="1:6" ht="30.75" customHeight="1" x14ac:dyDescent="0.25">
      <c r="A2" s="609" t="s">
        <v>533</v>
      </c>
      <c r="B2" s="610"/>
      <c r="C2" s="610"/>
      <c r="D2" s="610"/>
      <c r="E2" s="610"/>
      <c r="F2" s="610"/>
    </row>
    <row r="3" spans="1:6" ht="18.75" thickBot="1" x14ac:dyDescent="0.3">
      <c r="A3" s="9"/>
      <c r="B3" s="274"/>
      <c r="C3" s="274"/>
      <c r="D3" s="274"/>
      <c r="E3" s="274"/>
      <c r="F3" s="72" t="s">
        <v>323</v>
      </c>
    </row>
    <row r="4" spans="1:6" ht="18.75" customHeight="1" x14ac:dyDescent="0.25">
      <c r="A4" s="611" t="s">
        <v>93</v>
      </c>
      <c r="B4" s="613" t="s">
        <v>320</v>
      </c>
      <c r="C4" s="613" t="s">
        <v>355</v>
      </c>
      <c r="D4" s="617" t="s">
        <v>146</v>
      </c>
      <c r="E4" s="618"/>
      <c r="F4" s="615" t="s">
        <v>156</v>
      </c>
    </row>
    <row r="5" spans="1:6" ht="44.25" customHeight="1" thickBot="1" x14ac:dyDescent="0.3">
      <c r="A5" s="612"/>
      <c r="B5" s="614"/>
      <c r="C5" s="614"/>
      <c r="D5" s="331" t="s">
        <v>478</v>
      </c>
      <c r="E5" s="331" t="s">
        <v>401</v>
      </c>
      <c r="F5" s="616"/>
    </row>
    <row r="6" spans="1:6" s="1" customFormat="1" ht="7.5" customHeight="1" x14ac:dyDescent="0.25">
      <c r="A6" s="62"/>
      <c r="B6" s="63"/>
      <c r="C6" s="304"/>
      <c r="D6" s="304"/>
      <c r="E6" s="304"/>
      <c r="F6" s="305"/>
    </row>
    <row r="7" spans="1:6" s="188" customFormat="1" x14ac:dyDescent="0.25">
      <c r="A7" s="487"/>
      <c r="B7" s="488" t="s">
        <v>271</v>
      </c>
      <c r="C7" s="489">
        <f>D7+E7</f>
        <v>137</v>
      </c>
      <c r="D7" s="490">
        <f>SUM(D8:D217)</f>
        <v>113</v>
      </c>
      <c r="E7" s="490">
        <f>SUM(E8:E217)</f>
        <v>24</v>
      </c>
      <c r="F7" s="491">
        <f>SUM(F8:F41)</f>
        <v>0.99999999999999944</v>
      </c>
    </row>
    <row r="8" spans="1:6" x14ac:dyDescent="0.25">
      <c r="A8" s="492">
        <v>1</v>
      </c>
      <c r="B8" s="493" t="s">
        <v>225</v>
      </c>
      <c r="C8" s="494">
        <f>D8+E8</f>
        <v>38</v>
      </c>
      <c r="D8" s="495">
        <v>33</v>
      </c>
      <c r="E8" s="496">
        <v>5</v>
      </c>
      <c r="F8" s="497">
        <f>C8/$C$7</f>
        <v>0.27737226277372262</v>
      </c>
    </row>
    <row r="9" spans="1:6" x14ac:dyDescent="0.25">
      <c r="A9" s="492">
        <v>2</v>
      </c>
      <c r="B9" s="493" t="s">
        <v>168</v>
      </c>
      <c r="C9" s="494">
        <f t="shared" ref="C9:C41" si="0">D9+E9</f>
        <v>8</v>
      </c>
      <c r="D9" s="495">
        <v>4</v>
      </c>
      <c r="E9" s="496">
        <v>4</v>
      </c>
      <c r="F9" s="497">
        <f t="shared" ref="F9:F41" si="1">C9/$C$7</f>
        <v>5.8394160583941604E-2</v>
      </c>
    </row>
    <row r="10" spans="1:6" x14ac:dyDescent="0.25">
      <c r="A10" s="492">
        <v>3</v>
      </c>
      <c r="B10" s="493" t="s">
        <v>195</v>
      </c>
      <c r="C10" s="494">
        <f t="shared" si="0"/>
        <v>8</v>
      </c>
      <c r="D10" s="495">
        <v>6</v>
      </c>
      <c r="E10" s="496">
        <v>2</v>
      </c>
      <c r="F10" s="497">
        <f t="shared" si="1"/>
        <v>5.8394160583941604E-2</v>
      </c>
    </row>
    <row r="11" spans="1:6" x14ac:dyDescent="0.25">
      <c r="A11" s="492">
        <v>4</v>
      </c>
      <c r="B11" s="493" t="s">
        <v>252</v>
      </c>
      <c r="C11" s="494">
        <f t="shared" si="0"/>
        <v>8</v>
      </c>
      <c r="D11" s="495">
        <v>6</v>
      </c>
      <c r="E11" s="496">
        <v>2</v>
      </c>
      <c r="F11" s="497">
        <f t="shared" si="1"/>
        <v>5.8394160583941604E-2</v>
      </c>
    </row>
    <row r="12" spans="1:6" x14ac:dyDescent="0.25">
      <c r="A12" s="492">
        <v>5</v>
      </c>
      <c r="B12" s="493" t="s">
        <v>493</v>
      </c>
      <c r="C12" s="494">
        <f t="shared" si="0"/>
        <v>7</v>
      </c>
      <c r="D12" s="495">
        <v>6</v>
      </c>
      <c r="E12" s="496">
        <v>1</v>
      </c>
      <c r="F12" s="497">
        <f t="shared" si="1"/>
        <v>5.1094890510948905E-2</v>
      </c>
    </row>
    <row r="13" spans="1:6" x14ac:dyDescent="0.25">
      <c r="A13" s="492">
        <v>6</v>
      </c>
      <c r="B13" s="493" t="s">
        <v>238</v>
      </c>
      <c r="C13" s="494">
        <f t="shared" si="0"/>
        <v>7</v>
      </c>
      <c r="D13" s="495">
        <v>7</v>
      </c>
      <c r="E13" s="496">
        <v>0</v>
      </c>
      <c r="F13" s="497">
        <f t="shared" si="1"/>
        <v>5.1094890510948905E-2</v>
      </c>
    </row>
    <row r="14" spans="1:6" x14ac:dyDescent="0.25">
      <c r="A14" s="492">
        <v>7</v>
      </c>
      <c r="B14" s="493" t="s">
        <v>172</v>
      </c>
      <c r="C14" s="494">
        <f t="shared" si="0"/>
        <v>6</v>
      </c>
      <c r="D14" s="495">
        <v>6</v>
      </c>
      <c r="E14" s="496">
        <v>0</v>
      </c>
      <c r="F14" s="497">
        <f t="shared" si="1"/>
        <v>4.3795620437956206E-2</v>
      </c>
    </row>
    <row r="15" spans="1:6" x14ac:dyDescent="0.25">
      <c r="A15" s="492">
        <v>8</v>
      </c>
      <c r="B15" s="493" t="s">
        <v>233</v>
      </c>
      <c r="C15" s="494">
        <f t="shared" si="0"/>
        <v>6</v>
      </c>
      <c r="D15" s="495">
        <v>5</v>
      </c>
      <c r="E15" s="496">
        <v>1</v>
      </c>
      <c r="F15" s="497">
        <f t="shared" si="1"/>
        <v>4.3795620437956206E-2</v>
      </c>
    </row>
    <row r="16" spans="1:6" x14ac:dyDescent="0.25">
      <c r="A16" s="492">
        <v>9</v>
      </c>
      <c r="B16" s="493" t="s">
        <v>201</v>
      </c>
      <c r="C16" s="494">
        <f t="shared" si="0"/>
        <v>4</v>
      </c>
      <c r="D16" s="495">
        <v>4</v>
      </c>
      <c r="E16" s="496">
        <v>0</v>
      </c>
      <c r="F16" s="497">
        <f t="shared" si="1"/>
        <v>2.9197080291970802E-2</v>
      </c>
    </row>
    <row r="17" spans="1:6" x14ac:dyDescent="0.25">
      <c r="A17" s="492">
        <v>10</v>
      </c>
      <c r="B17" s="493" t="s">
        <v>221</v>
      </c>
      <c r="C17" s="494">
        <f t="shared" si="0"/>
        <v>4</v>
      </c>
      <c r="D17" s="495">
        <v>3</v>
      </c>
      <c r="E17" s="496">
        <v>1</v>
      </c>
      <c r="F17" s="497">
        <f t="shared" si="1"/>
        <v>2.9197080291970802E-2</v>
      </c>
    </row>
    <row r="18" spans="1:6" x14ac:dyDescent="0.25">
      <c r="A18" s="492">
        <v>11</v>
      </c>
      <c r="B18" s="493" t="s">
        <v>264</v>
      </c>
      <c r="C18" s="494">
        <f t="shared" si="0"/>
        <v>4</v>
      </c>
      <c r="D18" s="495">
        <v>4</v>
      </c>
      <c r="E18" s="496">
        <v>0</v>
      </c>
      <c r="F18" s="497">
        <f t="shared" si="1"/>
        <v>2.9197080291970802E-2</v>
      </c>
    </row>
    <row r="19" spans="1:6" x14ac:dyDescent="0.25">
      <c r="A19" s="492">
        <v>12</v>
      </c>
      <c r="B19" s="493" t="s">
        <v>319</v>
      </c>
      <c r="C19" s="494">
        <f t="shared" si="0"/>
        <v>4</v>
      </c>
      <c r="D19" s="495">
        <v>4</v>
      </c>
      <c r="E19" s="496">
        <v>0</v>
      </c>
      <c r="F19" s="497">
        <f t="shared" si="1"/>
        <v>2.9197080291970802E-2</v>
      </c>
    </row>
    <row r="20" spans="1:6" x14ac:dyDescent="0.25">
      <c r="A20" s="492">
        <v>13</v>
      </c>
      <c r="B20" s="493" t="s">
        <v>318</v>
      </c>
      <c r="C20" s="494">
        <f t="shared" si="0"/>
        <v>3</v>
      </c>
      <c r="D20" s="495">
        <v>2</v>
      </c>
      <c r="E20" s="496">
        <v>1</v>
      </c>
      <c r="F20" s="497">
        <f t="shared" si="1"/>
        <v>2.1897810218978103E-2</v>
      </c>
    </row>
    <row r="21" spans="1:6" x14ac:dyDescent="0.25">
      <c r="A21" s="492">
        <v>14</v>
      </c>
      <c r="B21" s="493" t="s">
        <v>309</v>
      </c>
      <c r="C21" s="494">
        <f t="shared" si="0"/>
        <v>3</v>
      </c>
      <c r="D21" s="495">
        <v>3</v>
      </c>
      <c r="E21" s="496">
        <v>0</v>
      </c>
      <c r="F21" s="497">
        <f t="shared" si="1"/>
        <v>2.1897810218978103E-2</v>
      </c>
    </row>
    <row r="22" spans="1:6" x14ac:dyDescent="0.25">
      <c r="A22" s="492">
        <v>15</v>
      </c>
      <c r="B22" s="493" t="s">
        <v>237</v>
      </c>
      <c r="C22" s="494">
        <f t="shared" si="0"/>
        <v>3</v>
      </c>
      <c r="D22" s="495">
        <v>0</v>
      </c>
      <c r="E22" s="496">
        <v>3</v>
      </c>
      <c r="F22" s="497">
        <f t="shared" si="1"/>
        <v>2.1897810218978103E-2</v>
      </c>
    </row>
    <row r="23" spans="1:6" x14ac:dyDescent="0.25">
      <c r="A23" s="492">
        <v>16</v>
      </c>
      <c r="B23" s="493" t="s">
        <v>171</v>
      </c>
      <c r="C23" s="494">
        <f t="shared" si="0"/>
        <v>2</v>
      </c>
      <c r="D23" s="495">
        <v>1</v>
      </c>
      <c r="E23" s="496">
        <v>1</v>
      </c>
      <c r="F23" s="497">
        <f t="shared" si="1"/>
        <v>1.4598540145985401E-2</v>
      </c>
    </row>
    <row r="24" spans="1:6" x14ac:dyDescent="0.25">
      <c r="A24" s="492">
        <v>17</v>
      </c>
      <c r="B24" s="493" t="s">
        <v>178</v>
      </c>
      <c r="C24" s="494">
        <f t="shared" si="0"/>
        <v>2</v>
      </c>
      <c r="D24" s="495">
        <v>2</v>
      </c>
      <c r="E24" s="496">
        <v>0</v>
      </c>
      <c r="F24" s="497">
        <f t="shared" si="1"/>
        <v>1.4598540145985401E-2</v>
      </c>
    </row>
    <row r="25" spans="1:6" x14ac:dyDescent="0.25">
      <c r="A25" s="492">
        <v>18</v>
      </c>
      <c r="B25" s="493" t="s">
        <v>186</v>
      </c>
      <c r="C25" s="494">
        <f t="shared" si="0"/>
        <v>2</v>
      </c>
      <c r="D25" s="495">
        <v>1</v>
      </c>
      <c r="E25" s="496">
        <v>1</v>
      </c>
      <c r="F25" s="497">
        <f t="shared" si="1"/>
        <v>1.4598540145985401E-2</v>
      </c>
    </row>
    <row r="26" spans="1:6" x14ac:dyDescent="0.25">
      <c r="A26" s="492">
        <v>19</v>
      </c>
      <c r="B26" s="493" t="s">
        <v>197</v>
      </c>
      <c r="C26" s="494">
        <f t="shared" si="0"/>
        <v>2</v>
      </c>
      <c r="D26" s="495">
        <v>2</v>
      </c>
      <c r="E26" s="496">
        <v>0</v>
      </c>
      <c r="F26" s="497">
        <f t="shared" si="1"/>
        <v>1.4598540145985401E-2</v>
      </c>
    </row>
    <row r="27" spans="1:6" x14ac:dyDescent="0.25">
      <c r="A27" s="492">
        <v>20</v>
      </c>
      <c r="B27" s="493" t="s">
        <v>226</v>
      </c>
      <c r="C27" s="494">
        <f t="shared" si="0"/>
        <v>2</v>
      </c>
      <c r="D27" s="495">
        <v>2</v>
      </c>
      <c r="E27" s="496">
        <v>0</v>
      </c>
      <c r="F27" s="497">
        <f t="shared" si="1"/>
        <v>1.4598540145985401E-2</v>
      </c>
    </row>
    <row r="28" spans="1:6" x14ac:dyDescent="0.25">
      <c r="A28" s="492">
        <v>21</v>
      </c>
      <c r="B28" s="493" t="s">
        <v>167</v>
      </c>
      <c r="C28" s="494">
        <f t="shared" si="0"/>
        <v>1</v>
      </c>
      <c r="D28" s="495">
        <v>1</v>
      </c>
      <c r="E28" s="496">
        <v>0</v>
      </c>
      <c r="F28" s="497">
        <f t="shared" si="1"/>
        <v>7.2992700729927005E-3</v>
      </c>
    </row>
    <row r="29" spans="1:6" x14ac:dyDescent="0.25">
      <c r="A29" s="492">
        <v>22</v>
      </c>
      <c r="B29" s="493" t="s">
        <v>179</v>
      </c>
      <c r="C29" s="494">
        <f t="shared" si="0"/>
        <v>1</v>
      </c>
      <c r="D29" s="495">
        <v>1</v>
      </c>
      <c r="E29" s="496">
        <v>0</v>
      </c>
      <c r="F29" s="497">
        <f t="shared" si="1"/>
        <v>7.2992700729927005E-3</v>
      </c>
    </row>
    <row r="30" spans="1:6" x14ac:dyDescent="0.25">
      <c r="A30" s="492">
        <v>23</v>
      </c>
      <c r="B30" s="493" t="s">
        <v>182</v>
      </c>
      <c r="C30" s="494">
        <f t="shared" si="0"/>
        <v>1</v>
      </c>
      <c r="D30" s="495">
        <v>1</v>
      </c>
      <c r="E30" s="496">
        <v>0</v>
      </c>
      <c r="F30" s="497">
        <f t="shared" si="1"/>
        <v>7.2992700729927005E-3</v>
      </c>
    </row>
    <row r="31" spans="1:6" x14ac:dyDescent="0.25">
      <c r="A31" s="492">
        <v>24</v>
      </c>
      <c r="B31" s="493" t="s">
        <v>308</v>
      </c>
      <c r="C31" s="494">
        <f t="shared" si="0"/>
        <v>1</v>
      </c>
      <c r="D31" s="495">
        <v>0</v>
      </c>
      <c r="E31" s="496">
        <v>1</v>
      </c>
      <c r="F31" s="497">
        <f t="shared" si="1"/>
        <v>7.2992700729927005E-3</v>
      </c>
    </row>
    <row r="32" spans="1:6" x14ac:dyDescent="0.25">
      <c r="A32" s="492">
        <v>25</v>
      </c>
      <c r="B32" s="493" t="s">
        <v>194</v>
      </c>
      <c r="C32" s="494">
        <f t="shared" si="0"/>
        <v>1</v>
      </c>
      <c r="D32" s="495">
        <v>1</v>
      </c>
      <c r="E32" s="496">
        <v>0</v>
      </c>
      <c r="F32" s="497">
        <f t="shared" si="1"/>
        <v>7.2992700729927005E-3</v>
      </c>
    </row>
    <row r="33" spans="1:6" x14ac:dyDescent="0.25">
      <c r="A33" s="492">
        <v>26</v>
      </c>
      <c r="B33" s="493" t="s">
        <v>198</v>
      </c>
      <c r="C33" s="494">
        <f t="shared" si="0"/>
        <v>1</v>
      </c>
      <c r="D33" s="495">
        <v>1</v>
      </c>
      <c r="E33" s="496">
        <v>0</v>
      </c>
      <c r="F33" s="497">
        <f t="shared" si="1"/>
        <v>7.2992700729927005E-3</v>
      </c>
    </row>
    <row r="34" spans="1:6" x14ac:dyDescent="0.25">
      <c r="A34" s="492">
        <v>27</v>
      </c>
      <c r="B34" s="498" t="s">
        <v>494</v>
      </c>
      <c r="C34" s="494">
        <f t="shared" si="0"/>
        <v>1</v>
      </c>
      <c r="D34" s="495">
        <v>1</v>
      </c>
      <c r="E34" s="496">
        <v>0</v>
      </c>
      <c r="F34" s="497">
        <f t="shared" si="1"/>
        <v>7.2992700729927005E-3</v>
      </c>
    </row>
    <row r="35" spans="1:6" x14ac:dyDescent="0.25">
      <c r="A35" s="492">
        <v>28</v>
      </c>
      <c r="B35" s="493" t="s">
        <v>209</v>
      </c>
      <c r="C35" s="494">
        <f t="shared" si="0"/>
        <v>1</v>
      </c>
      <c r="D35" s="495">
        <v>1</v>
      </c>
      <c r="E35" s="496">
        <v>0</v>
      </c>
      <c r="F35" s="497">
        <f t="shared" si="1"/>
        <v>7.2992700729927005E-3</v>
      </c>
    </row>
    <row r="36" spans="1:6" x14ac:dyDescent="0.25">
      <c r="A36" s="492">
        <v>29</v>
      </c>
      <c r="B36" s="493" t="s">
        <v>220</v>
      </c>
      <c r="C36" s="494">
        <f t="shared" si="0"/>
        <v>1</v>
      </c>
      <c r="D36" s="495">
        <v>1</v>
      </c>
      <c r="E36" s="496">
        <v>0</v>
      </c>
      <c r="F36" s="497">
        <f t="shared" si="1"/>
        <v>7.2992700729927005E-3</v>
      </c>
    </row>
    <row r="37" spans="1:6" x14ac:dyDescent="0.25">
      <c r="A37" s="492">
        <v>30</v>
      </c>
      <c r="B37" s="493" t="s">
        <v>223</v>
      </c>
      <c r="C37" s="494">
        <f t="shared" si="0"/>
        <v>1</v>
      </c>
      <c r="D37" s="495">
        <v>1</v>
      </c>
      <c r="E37" s="496">
        <v>0</v>
      </c>
      <c r="F37" s="497">
        <f t="shared" si="1"/>
        <v>7.2992700729927005E-3</v>
      </c>
    </row>
    <row r="38" spans="1:6" x14ac:dyDescent="0.25">
      <c r="A38" s="492">
        <v>31</v>
      </c>
      <c r="B38" s="493" t="s">
        <v>230</v>
      </c>
      <c r="C38" s="494">
        <f t="shared" si="0"/>
        <v>1</v>
      </c>
      <c r="D38" s="495">
        <v>1</v>
      </c>
      <c r="E38" s="496">
        <v>0</v>
      </c>
      <c r="F38" s="497">
        <f t="shared" si="1"/>
        <v>7.2992700729927005E-3</v>
      </c>
    </row>
    <row r="39" spans="1:6" x14ac:dyDescent="0.25">
      <c r="A39" s="492">
        <v>32</v>
      </c>
      <c r="B39" s="493" t="s">
        <v>416</v>
      </c>
      <c r="C39" s="494">
        <f t="shared" si="0"/>
        <v>1</v>
      </c>
      <c r="D39" s="495">
        <v>1</v>
      </c>
      <c r="E39" s="496">
        <v>0</v>
      </c>
      <c r="F39" s="497">
        <f t="shared" si="1"/>
        <v>7.2992700729927005E-3</v>
      </c>
    </row>
    <row r="40" spans="1:6" x14ac:dyDescent="0.25">
      <c r="A40" s="492">
        <v>33</v>
      </c>
      <c r="B40" s="493" t="s">
        <v>234</v>
      </c>
      <c r="C40" s="494">
        <f t="shared" si="0"/>
        <v>1</v>
      </c>
      <c r="D40" s="495">
        <v>0</v>
      </c>
      <c r="E40" s="496">
        <v>1</v>
      </c>
      <c r="F40" s="497">
        <f t="shared" si="1"/>
        <v>7.2992700729927005E-3</v>
      </c>
    </row>
    <row r="41" spans="1:6" x14ac:dyDescent="0.25">
      <c r="A41" s="492">
        <v>34</v>
      </c>
      <c r="B41" s="493" t="s">
        <v>243</v>
      </c>
      <c r="C41" s="494">
        <f t="shared" si="0"/>
        <v>1</v>
      </c>
      <c r="D41" s="495">
        <v>1</v>
      </c>
      <c r="E41" s="496">
        <v>0</v>
      </c>
      <c r="F41" s="497">
        <f t="shared" si="1"/>
        <v>7.2992700729927005E-3</v>
      </c>
    </row>
  </sheetData>
  <mergeCells count="6">
    <mergeCell ref="A2:F2"/>
    <mergeCell ref="A4:A5"/>
    <mergeCell ref="B4:B5"/>
    <mergeCell ref="C4:C5"/>
    <mergeCell ref="F4:F5"/>
    <mergeCell ref="D4:E4"/>
  </mergeCells>
  <pageMargins left="0.31496062992125984" right="0.31496062992125984" top="0.15748031496062992" bottom="0.15748031496062992" header="0.31496062992125984" footer="0.31496062992125984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theme="8"/>
  </sheetPr>
  <dimension ref="A1:F12"/>
  <sheetViews>
    <sheetView zoomScale="85" zoomScaleNormal="85" workbookViewId="0">
      <selection activeCell="I7" sqref="I7"/>
    </sheetView>
  </sheetViews>
  <sheetFormatPr defaultRowHeight="14.25" x14ac:dyDescent="0.2"/>
  <cols>
    <col min="1" max="1" width="6" style="3" bestFit="1" customWidth="1"/>
    <col min="2" max="2" width="42.85546875" style="2" customWidth="1"/>
    <col min="3" max="4" width="12.7109375" style="2" customWidth="1"/>
    <col min="5" max="5" width="12.7109375" style="9" customWidth="1"/>
    <col min="6" max="6" width="12.7109375" style="2" customWidth="1"/>
    <col min="7" max="16384" width="9.140625" style="2"/>
  </cols>
  <sheetData>
    <row r="1" spans="1:6" ht="15" x14ac:dyDescent="0.2">
      <c r="F1" s="51" t="s">
        <v>331</v>
      </c>
    </row>
    <row r="3" spans="1:6" ht="39.75" customHeight="1" x14ac:dyDescent="0.2">
      <c r="A3" s="556" t="s">
        <v>568</v>
      </c>
      <c r="B3" s="551"/>
      <c r="C3" s="551"/>
      <c r="D3" s="551"/>
      <c r="E3" s="551"/>
      <c r="F3" s="551"/>
    </row>
    <row r="4" spans="1:6" ht="15.75" thickBot="1" x14ac:dyDescent="0.25">
      <c r="F4" s="45" t="s">
        <v>323</v>
      </c>
    </row>
    <row r="5" spans="1:6" s="1" customFormat="1" ht="40.5" customHeight="1" thickBot="1" x14ac:dyDescent="0.3">
      <c r="A5" s="282" t="s">
        <v>93</v>
      </c>
      <c r="B5" s="77" t="s">
        <v>153</v>
      </c>
      <c r="C5" s="77" t="str">
        <f>'2-жадвал'!C5</f>
        <v>2024-йил</v>
      </c>
      <c r="D5" s="77" t="str">
        <f>'2-жадвал'!D5</f>
        <v>2025-йил</v>
      </c>
      <c r="E5" s="78" t="s">
        <v>156</v>
      </c>
      <c r="F5" s="78" t="s">
        <v>379</v>
      </c>
    </row>
    <row r="6" spans="1:6" s="1" customFormat="1" ht="6.75" customHeight="1" x14ac:dyDescent="0.25">
      <c r="A6" s="62"/>
      <c r="B6" s="63"/>
      <c r="C6" s="63"/>
      <c r="D6" s="63"/>
      <c r="E6" s="63"/>
      <c r="F6" s="64"/>
    </row>
    <row r="7" spans="1:6" s="17" customFormat="1" ht="39" customHeight="1" x14ac:dyDescent="0.25">
      <c r="A7" s="37">
        <v>1</v>
      </c>
      <c r="B7" s="70" t="s">
        <v>569</v>
      </c>
      <c r="C7" s="340">
        <f>C9+C10+C11</f>
        <v>233</v>
      </c>
      <c r="D7" s="340">
        <f>D9+D10+D11</f>
        <v>315</v>
      </c>
      <c r="E7" s="332">
        <f>E9+E10+E11</f>
        <v>1</v>
      </c>
      <c r="F7" s="336">
        <f>IFERROR(D7/C7, "-")</f>
        <v>1.351931330472103</v>
      </c>
    </row>
    <row r="8" spans="1:6" s="17" customFormat="1" ht="18" x14ac:dyDescent="0.25">
      <c r="A8" s="23"/>
      <c r="B8" s="66" t="s">
        <v>146</v>
      </c>
      <c r="C8" s="341"/>
      <c r="D8" s="341"/>
      <c r="E8" s="332"/>
      <c r="F8" s="336"/>
    </row>
    <row r="9" spans="1:6" s="19" customFormat="1" ht="39" customHeight="1" x14ac:dyDescent="0.3">
      <c r="A9" s="74" t="s">
        <v>3</v>
      </c>
      <c r="B9" s="69" t="s">
        <v>332</v>
      </c>
      <c r="C9" s="342">
        <v>96</v>
      </c>
      <c r="D9" s="342">
        <v>128</v>
      </c>
      <c r="E9" s="333">
        <f>D9/$D$7</f>
        <v>0.40634920634920635</v>
      </c>
      <c r="F9" s="337">
        <f t="shared" ref="F9:F12" si="0">IFERROR(D9/C9, "-")</f>
        <v>1.3333333333333333</v>
      </c>
    </row>
    <row r="10" spans="1:6" s="19" customFormat="1" ht="39" customHeight="1" x14ac:dyDescent="0.3">
      <c r="A10" s="74" t="s">
        <v>4</v>
      </c>
      <c r="B10" s="69" t="s">
        <v>333</v>
      </c>
      <c r="C10" s="342">
        <v>9</v>
      </c>
      <c r="D10" s="342">
        <v>7</v>
      </c>
      <c r="E10" s="334">
        <f>D10/$D$7</f>
        <v>2.2222222222222223E-2</v>
      </c>
      <c r="F10" s="338">
        <f t="shared" si="0"/>
        <v>0.77777777777777779</v>
      </c>
    </row>
    <row r="11" spans="1:6" s="19" customFormat="1" ht="39" customHeight="1" x14ac:dyDescent="0.3">
      <c r="A11" s="74" t="s">
        <v>5</v>
      </c>
      <c r="B11" s="69" t="s">
        <v>534</v>
      </c>
      <c r="C11" s="342">
        <v>128</v>
      </c>
      <c r="D11" s="342">
        <v>180</v>
      </c>
      <c r="E11" s="335">
        <f>D11/$D$7</f>
        <v>0.5714285714285714</v>
      </c>
      <c r="F11" s="339">
        <f t="shared" si="0"/>
        <v>1.40625</v>
      </c>
    </row>
    <row r="12" spans="1:6" s="19" customFormat="1" ht="39" customHeight="1" x14ac:dyDescent="0.3">
      <c r="A12" s="23" t="s">
        <v>6</v>
      </c>
      <c r="B12" s="70" t="s">
        <v>570</v>
      </c>
      <c r="C12" s="342">
        <v>733</v>
      </c>
      <c r="D12" s="342">
        <v>1048</v>
      </c>
      <c r="E12" s="76" t="s">
        <v>33</v>
      </c>
      <c r="F12" s="339">
        <f t="shared" si="0"/>
        <v>1.4297407912687585</v>
      </c>
    </row>
  </sheetData>
  <mergeCells count="1">
    <mergeCell ref="A3:F3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5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theme="8"/>
  </sheetPr>
  <dimension ref="A1:L55"/>
  <sheetViews>
    <sheetView workbookViewId="0">
      <pane ySplit="7" topLeftCell="A8" activePane="bottomLeft" state="frozen"/>
      <selection activeCell="A2" sqref="A2:I2"/>
      <selection pane="bottomLeft" activeCell="P8" sqref="P8"/>
    </sheetView>
  </sheetViews>
  <sheetFormatPr defaultRowHeight="14.25" x14ac:dyDescent="0.2"/>
  <cols>
    <col min="1" max="1" width="3.7109375" style="3" bestFit="1" customWidth="1"/>
    <col min="2" max="2" width="26.7109375" style="2" customWidth="1"/>
    <col min="3" max="3" width="14.140625" style="2" customWidth="1"/>
    <col min="4" max="4" width="13" style="2" customWidth="1"/>
    <col min="5" max="6" width="11.42578125" style="9" customWidth="1"/>
    <col min="7" max="7" width="11.42578125" style="2" customWidth="1"/>
    <col min="8" max="8" width="14.140625" style="2" customWidth="1"/>
    <col min="9" max="9" width="12.5703125" style="2" customWidth="1"/>
    <col min="10" max="12" width="11.42578125" style="2" customWidth="1"/>
    <col min="13" max="16384" width="9.140625" style="2"/>
  </cols>
  <sheetData>
    <row r="1" spans="1:12" ht="15" x14ac:dyDescent="0.2">
      <c r="L1" s="51" t="s">
        <v>334</v>
      </c>
    </row>
    <row r="2" spans="1:12" ht="18" customHeight="1" x14ac:dyDescent="0.2">
      <c r="A2" s="556" t="s">
        <v>571</v>
      </c>
      <c r="B2" s="553"/>
      <c r="C2" s="553"/>
      <c r="D2" s="553"/>
      <c r="E2" s="559"/>
      <c r="F2" s="559"/>
      <c r="G2" s="553"/>
      <c r="H2" s="553"/>
      <c r="I2" s="553"/>
      <c r="J2" s="553"/>
      <c r="K2" s="553"/>
      <c r="L2" s="553"/>
    </row>
    <row r="3" spans="1:12" ht="15.75" thickBot="1" x14ac:dyDescent="0.25">
      <c r="L3" s="45" t="s">
        <v>323</v>
      </c>
    </row>
    <row r="4" spans="1:12" ht="21.75" customHeight="1" x14ac:dyDescent="0.25">
      <c r="A4" s="624" t="s">
        <v>93</v>
      </c>
      <c r="B4" s="622" t="s">
        <v>320</v>
      </c>
      <c r="C4" s="619" t="s">
        <v>572</v>
      </c>
      <c r="D4" s="620"/>
      <c r="E4" s="620"/>
      <c r="F4" s="620"/>
      <c r="G4" s="618"/>
      <c r="H4" s="621" t="s">
        <v>573</v>
      </c>
      <c r="I4" s="620"/>
      <c r="J4" s="620"/>
      <c r="K4" s="620"/>
      <c r="L4" s="620"/>
    </row>
    <row r="5" spans="1:12" s="1" customFormat="1" ht="43.5" thickBot="1" x14ac:dyDescent="0.3">
      <c r="A5" s="612"/>
      <c r="B5" s="623"/>
      <c r="C5" s="81" t="s">
        <v>332</v>
      </c>
      <c r="D5" s="79" t="s">
        <v>403</v>
      </c>
      <c r="E5" s="79" t="s">
        <v>402</v>
      </c>
      <c r="F5" s="80" t="s">
        <v>271</v>
      </c>
      <c r="G5" s="83" t="s">
        <v>156</v>
      </c>
      <c r="H5" s="81" t="s">
        <v>332</v>
      </c>
      <c r="I5" s="79" t="s">
        <v>403</v>
      </c>
      <c r="J5" s="79" t="s">
        <v>402</v>
      </c>
      <c r="K5" s="80" t="s">
        <v>271</v>
      </c>
      <c r="L5" s="80" t="s">
        <v>156</v>
      </c>
    </row>
    <row r="6" spans="1:12" s="1" customFormat="1" ht="6.75" customHeight="1" x14ac:dyDescent="0.25">
      <c r="A6" s="62"/>
      <c r="B6" s="63"/>
      <c r="C6" s="63"/>
      <c r="D6" s="63"/>
      <c r="E6" s="63"/>
      <c r="F6" s="63"/>
      <c r="G6" s="84"/>
      <c r="H6" s="82"/>
    </row>
    <row r="7" spans="1:12" s="384" customFormat="1" ht="20.100000000000001" customHeight="1" x14ac:dyDescent="0.25">
      <c r="A7" s="381"/>
      <c r="B7" s="382" t="s">
        <v>271</v>
      </c>
      <c r="C7" s="383">
        <f t="shared" ref="C7:L7" si="0">SUM(C8:C249)</f>
        <v>128</v>
      </c>
      <c r="D7" s="383">
        <f t="shared" si="0"/>
        <v>7</v>
      </c>
      <c r="E7" s="383">
        <f t="shared" si="0"/>
        <v>180</v>
      </c>
      <c r="F7" s="383">
        <f t="shared" si="0"/>
        <v>315</v>
      </c>
      <c r="G7" s="385">
        <f t="shared" si="0"/>
        <v>0.99999999999999967</v>
      </c>
      <c r="H7" s="386">
        <f t="shared" si="0"/>
        <v>366</v>
      </c>
      <c r="I7" s="383">
        <f t="shared" si="0"/>
        <v>20</v>
      </c>
      <c r="J7" s="383">
        <f t="shared" si="0"/>
        <v>662</v>
      </c>
      <c r="K7" s="383">
        <f t="shared" si="0"/>
        <v>1048</v>
      </c>
      <c r="L7" s="387">
        <f t="shared" si="0"/>
        <v>1.0000000000000004</v>
      </c>
    </row>
    <row r="8" spans="1:12" ht="13.5" customHeight="1" x14ac:dyDescent="0.2">
      <c r="A8" s="388" t="s">
        <v>16</v>
      </c>
      <c r="B8" s="389" t="s">
        <v>495</v>
      </c>
      <c r="C8" s="390">
        <v>43</v>
      </c>
      <c r="D8" s="390">
        <v>2</v>
      </c>
      <c r="E8" s="390">
        <v>114</v>
      </c>
      <c r="F8" s="86">
        <f>SUM(C8:E8)</f>
        <v>159</v>
      </c>
      <c r="G8" s="396">
        <f>F8/$F$7</f>
        <v>0.50476190476190474</v>
      </c>
      <c r="H8" s="394">
        <v>179</v>
      </c>
      <c r="I8" s="390">
        <v>6</v>
      </c>
      <c r="J8" s="390">
        <v>484</v>
      </c>
      <c r="K8" s="86">
        <f>SUM(H8:J8)</f>
        <v>669</v>
      </c>
      <c r="L8" s="397">
        <f>K8/$K$7</f>
        <v>0.63835877862595425</v>
      </c>
    </row>
    <row r="9" spans="1:12" ht="13.5" customHeight="1" x14ac:dyDescent="0.2">
      <c r="A9" s="388" t="s">
        <v>6</v>
      </c>
      <c r="B9" s="389" t="s">
        <v>234</v>
      </c>
      <c r="C9" s="390">
        <v>13</v>
      </c>
      <c r="D9" s="390">
        <v>2</v>
      </c>
      <c r="E9" s="390">
        <v>21</v>
      </c>
      <c r="F9" s="86">
        <f t="shared" ref="F9:F55" si="1">SUM(C9:E9)</f>
        <v>36</v>
      </c>
      <c r="G9" s="396">
        <f t="shared" ref="G9:G55" si="2">F9/$F$7</f>
        <v>0.11428571428571428</v>
      </c>
      <c r="H9" s="394">
        <v>24</v>
      </c>
      <c r="I9" s="390">
        <v>4</v>
      </c>
      <c r="J9" s="390">
        <v>38</v>
      </c>
      <c r="K9" s="86">
        <f t="shared" ref="K9:K55" si="3">SUM(H9:J9)</f>
        <v>66</v>
      </c>
      <c r="L9" s="397">
        <f t="shared" ref="L9:L55" si="4">K9/$K$7</f>
        <v>6.2977099236641215E-2</v>
      </c>
    </row>
    <row r="10" spans="1:12" ht="13.5" customHeight="1" x14ac:dyDescent="0.2">
      <c r="A10" s="388" t="s">
        <v>8</v>
      </c>
      <c r="B10" s="389" t="s">
        <v>414</v>
      </c>
      <c r="C10" s="390">
        <v>1</v>
      </c>
      <c r="D10" s="390">
        <v>0</v>
      </c>
      <c r="E10" s="390">
        <v>16</v>
      </c>
      <c r="F10" s="86">
        <f t="shared" si="1"/>
        <v>17</v>
      </c>
      <c r="G10" s="396">
        <f t="shared" si="2"/>
        <v>5.3968253968253971E-2</v>
      </c>
      <c r="H10" s="394">
        <v>10</v>
      </c>
      <c r="I10" s="390">
        <v>0</v>
      </c>
      <c r="J10" s="390">
        <v>67</v>
      </c>
      <c r="K10" s="86">
        <f t="shared" si="3"/>
        <v>77</v>
      </c>
      <c r="L10" s="397">
        <f t="shared" si="4"/>
        <v>7.3473282442748089E-2</v>
      </c>
    </row>
    <row r="11" spans="1:12" ht="13.5" customHeight="1" x14ac:dyDescent="0.2">
      <c r="A11" s="388" t="s">
        <v>14</v>
      </c>
      <c r="B11" s="389" t="s">
        <v>195</v>
      </c>
      <c r="C11" s="390">
        <v>3</v>
      </c>
      <c r="D11" s="390">
        <v>0</v>
      </c>
      <c r="E11" s="390">
        <v>12</v>
      </c>
      <c r="F11" s="86">
        <f t="shared" si="1"/>
        <v>15</v>
      </c>
      <c r="G11" s="396">
        <f t="shared" si="2"/>
        <v>4.7619047619047616E-2</v>
      </c>
      <c r="H11" s="394">
        <v>8</v>
      </c>
      <c r="I11" s="390">
        <v>1</v>
      </c>
      <c r="J11" s="390">
        <v>23</v>
      </c>
      <c r="K11" s="86">
        <f t="shared" si="3"/>
        <v>32</v>
      </c>
      <c r="L11" s="397">
        <f t="shared" si="4"/>
        <v>3.0534351145038167E-2</v>
      </c>
    </row>
    <row r="12" spans="1:12" ht="13.5" customHeight="1" x14ac:dyDescent="0.2">
      <c r="A12" s="388" t="s">
        <v>2</v>
      </c>
      <c r="B12" s="389" t="s">
        <v>205</v>
      </c>
      <c r="C12" s="390">
        <v>7</v>
      </c>
      <c r="D12" s="390">
        <v>0</v>
      </c>
      <c r="E12" s="390">
        <v>5</v>
      </c>
      <c r="F12" s="86">
        <f t="shared" si="1"/>
        <v>12</v>
      </c>
      <c r="G12" s="396">
        <f t="shared" si="2"/>
        <v>3.8095238095238099E-2</v>
      </c>
      <c r="H12" s="394">
        <v>14</v>
      </c>
      <c r="I12" s="390">
        <v>0</v>
      </c>
      <c r="J12" s="390">
        <v>10</v>
      </c>
      <c r="K12" s="86">
        <f t="shared" si="3"/>
        <v>24</v>
      </c>
      <c r="L12" s="397">
        <f t="shared" si="4"/>
        <v>2.2900763358778626E-2</v>
      </c>
    </row>
    <row r="13" spans="1:12" ht="13.5" customHeight="1" x14ac:dyDescent="0.2">
      <c r="A13" s="388" t="s">
        <v>17</v>
      </c>
      <c r="B13" s="389" t="s">
        <v>496</v>
      </c>
      <c r="C13" s="390">
        <v>9</v>
      </c>
      <c r="D13" s="390">
        <v>2</v>
      </c>
      <c r="E13" s="390">
        <v>0</v>
      </c>
      <c r="F13" s="86">
        <f t="shared" si="1"/>
        <v>11</v>
      </c>
      <c r="G13" s="396">
        <f t="shared" si="2"/>
        <v>3.4920634920634921E-2</v>
      </c>
      <c r="H13" s="394">
        <v>13</v>
      </c>
      <c r="I13" s="390">
        <v>2</v>
      </c>
      <c r="J13" s="390">
        <v>0</v>
      </c>
      <c r="K13" s="86">
        <f t="shared" si="3"/>
        <v>15</v>
      </c>
      <c r="L13" s="397">
        <f t="shared" si="4"/>
        <v>1.4312977099236641E-2</v>
      </c>
    </row>
    <row r="14" spans="1:12" ht="13.5" customHeight="1" x14ac:dyDescent="0.2">
      <c r="A14" s="388" t="s">
        <v>18</v>
      </c>
      <c r="B14" s="389" t="s">
        <v>319</v>
      </c>
      <c r="C14" s="390">
        <v>5</v>
      </c>
      <c r="D14" s="390">
        <v>0</v>
      </c>
      <c r="E14" s="390">
        <v>4</v>
      </c>
      <c r="F14" s="86">
        <f t="shared" si="1"/>
        <v>9</v>
      </c>
      <c r="G14" s="396">
        <f t="shared" si="2"/>
        <v>2.8571428571428571E-2</v>
      </c>
      <c r="H14" s="394">
        <v>12</v>
      </c>
      <c r="I14" s="390">
        <v>1</v>
      </c>
      <c r="J14" s="390">
        <v>7</v>
      </c>
      <c r="K14" s="86">
        <f t="shared" si="3"/>
        <v>20</v>
      </c>
      <c r="L14" s="397">
        <f t="shared" si="4"/>
        <v>1.9083969465648856E-2</v>
      </c>
    </row>
    <row r="15" spans="1:12" ht="13.5" customHeight="1" x14ac:dyDescent="0.2">
      <c r="A15" s="388" t="s">
        <v>19</v>
      </c>
      <c r="B15" s="389" t="s">
        <v>264</v>
      </c>
      <c r="C15" s="390">
        <v>8</v>
      </c>
      <c r="D15" s="390">
        <v>0</v>
      </c>
      <c r="E15" s="390">
        <v>0</v>
      </c>
      <c r="F15" s="86">
        <f t="shared" si="1"/>
        <v>8</v>
      </c>
      <c r="G15" s="396">
        <f t="shared" si="2"/>
        <v>2.5396825396825397E-2</v>
      </c>
      <c r="H15" s="394">
        <v>11</v>
      </c>
      <c r="I15" s="390">
        <v>0</v>
      </c>
      <c r="J15" s="390">
        <v>0</v>
      </c>
      <c r="K15" s="86">
        <f t="shared" si="3"/>
        <v>11</v>
      </c>
      <c r="L15" s="397">
        <f t="shared" si="4"/>
        <v>1.049618320610687E-2</v>
      </c>
    </row>
    <row r="16" spans="1:12" ht="13.5" customHeight="1" x14ac:dyDescent="0.2">
      <c r="A16" s="388" t="s">
        <v>20</v>
      </c>
      <c r="B16" s="389" t="s">
        <v>252</v>
      </c>
      <c r="C16" s="390">
        <v>7</v>
      </c>
      <c r="D16" s="390">
        <v>0</v>
      </c>
      <c r="E16" s="390">
        <v>0</v>
      </c>
      <c r="F16" s="86">
        <f t="shared" si="1"/>
        <v>7</v>
      </c>
      <c r="G16" s="396">
        <f t="shared" si="2"/>
        <v>2.2222222222222223E-2</v>
      </c>
      <c r="H16" s="394">
        <v>9</v>
      </c>
      <c r="I16" s="390">
        <v>0</v>
      </c>
      <c r="J16" s="390">
        <v>1</v>
      </c>
      <c r="K16" s="86">
        <f t="shared" si="3"/>
        <v>10</v>
      </c>
      <c r="L16" s="397">
        <f t="shared" si="4"/>
        <v>9.5419847328244278E-3</v>
      </c>
    </row>
    <row r="17" spans="1:12" ht="13.5" customHeight="1" x14ac:dyDescent="0.2">
      <c r="A17" s="388" t="s">
        <v>21</v>
      </c>
      <c r="B17" s="389" t="s">
        <v>233</v>
      </c>
      <c r="C17" s="390">
        <v>3</v>
      </c>
      <c r="D17" s="390">
        <v>0</v>
      </c>
      <c r="E17" s="390">
        <v>1</v>
      </c>
      <c r="F17" s="86">
        <f t="shared" si="1"/>
        <v>4</v>
      </c>
      <c r="G17" s="396">
        <f t="shared" si="2"/>
        <v>1.2698412698412698E-2</v>
      </c>
      <c r="H17" s="394">
        <v>14</v>
      </c>
      <c r="I17" s="390">
        <v>1</v>
      </c>
      <c r="J17" s="390">
        <v>1</v>
      </c>
      <c r="K17" s="86">
        <f t="shared" si="3"/>
        <v>16</v>
      </c>
      <c r="L17" s="397">
        <f t="shared" si="4"/>
        <v>1.5267175572519083E-2</v>
      </c>
    </row>
    <row r="18" spans="1:12" ht="13.5" customHeight="1" x14ac:dyDescent="0.2">
      <c r="A18" s="388" t="s">
        <v>34</v>
      </c>
      <c r="B18" s="389" t="s">
        <v>201</v>
      </c>
      <c r="C18" s="390">
        <v>3</v>
      </c>
      <c r="D18" s="390">
        <v>0</v>
      </c>
      <c r="E18" s="390">
        <v>1</v>
      </c>
      <c r="F18" s="86">
        <f t="shared" si="1"/>
        <v>4</v>
      </c>
      <c r="G18" s="396">
        <f t="shared" si="2"/>
        <v>1.2698412698412698E-2</v>
      </c>
      <c r="H18" s="394">
        <v>10</v>
      </c>
      <c r="I18" s="390">
        <v>0</v>
      </c>
      <c r="J18" s="390">
        <v>1</v>
      </c>
      <c r="K18" s="86">
        <f t="shared" si="3"/>
        <v>11</v>
      </c>
      <c r="L18" s="397">
        <f t="shared" si="4"/>
        <v>1.049618320610687E-2</v>
      </c>
    </row>
    <row r="19" spans="1:12" ht="13.5" customHeight="1" x14ac:dyDescent="0.2">
      <c r="A19" s="388" t="s">
        <v>35</v>
      </c>
      <c r="B19" s="389" t="s">
        <v>238</v>
      </c>
      <c r="C19" s="390">
        <v>3</v>
      </c>
      <c r="D19" s="390">
        <v>0</v>
      </c>
      <c r="E19" s="390">
        <v>1</v>
      </c>
      <c r="F19" s="86">
        <f t="shared" si="1"/>
        <v>4</v>
      </c>
      <c r="G19" s="396">
        <f t="shared" si="2"/>
        <v>1.2698412698412698E-2</v>
      </c>
      <c r="H19" s="394">
        <v>5</v>
      </c>
      <c r="I19" s="390">
        <v>0</v>
      </c>
      <c r="J19" s="390">
        <v>3</v>
      </c>
      <c r="K19" s="86">
        <f t="shared" si="3"/>
        <v>8</v>
      </c>
      <c r="L19" s="397">
        <f t="shared" si="4"/>
        <v>7.6335877862595417E-3</v>
      </c>
    </row>
    <row r="20" spans="1:12" ht="13.5" customHeight="1" x14ac:dyDescent="0.2">
      <c r="A20" s="388" t="s">
        <v>36</v>
      </c>
      <c r="B20" s="389" t="s">
        <v>240</v>
      </c>
      <c r="C20" s="390">
        <v>2</v>
      </c>
      <c r="D20" s="390">
        <v>0</v>
      </c>
      <c r="E20" s="390">
        <v>1</v>
      </c>
      <c r="F20" s="86">
        <f t="shared" si="1"/>
        <v>3</v>
      </c>
      <c r="G20" s="396">
        <f t="shared" si="2"/>
        <v>9.5238095238095247E-3</v>
      </c>
      <c r="H20" s="394">
        <v>4</v>
      </c>
      <c r="I20" s="390">
        <v>0</v>
      </c>
      <c r="J20" s="390">
        <v>10</v>
      </c>
      <c r="K20" s="86">
        <f t="shared" si="3"/>
        <v>14</v>
      </c>
      <c r="L20" s="397">
        <f t="shared" si="4"/>
        <v>1.3358778625954198E-2</v>
      </c>
    </row>
    <row r="21" spans="1:12" ht="13.5" customHeight="1" x14ac:dyDescent="0.2">
      <c r="A21" s="388" t="s">
        <v>37</v>
      </c>
      <c r="B21" s="389" t="s">
        <v>493</v>
      </c>
      <c r="C21" s="390">
        <v>1</v>
      </c>
      <c r="D21" s="390">
        <v>0</v>
      </c>
      <c r="E21" s="390">
        <v>1</v>
      </c>
      <c r="F21" s="86">
        <f t="shared" si="1"/>
        <v>2</v>
      </c>
      <c r="G21" s="396">
        <f t="shared" si="2"/>
        <v>6.3492063492063492E-3</v>
      </c>
      <c r="H21" s="394">
        <v>6</v>
      </c>
      <c r="I21" s="390">
        <v>0</v>
      </c>
      <c r="J21" s="390">
        <v>1</v>
      </c>
      <c r="K21" s="86">
        <f t="shared" si="3"/>
        <v>7</v>
      </c>
      <c r="L21" s="397">
        <f t="shared" si="4"/>
        <v>6.6793893129770991E-3</v>
      </c>
    </row>
    <row r="22" spans="1:12" ht="13.5" customHeight="1" x14ac:dyDescent="0.2">
      <c r="A22" s="388" t="s">
        <v>38</v>
      </c>
      <c r="B22" s="389" t="s">
        <v>263</v>
      </c>
      <c r="C22" s="390">
        <v>1</v>
      </c>
      <c r="D22" s="390">
        <v>1</v>
      </c>
      <c r="E22" s="390">
        <v>0</v>
      </c>
      <c r="F22" s="86">
        <f t="shared" si="1"/>
        <v>2</v>
      </c>
      <c r="G22" s="396">
        <f t="shared" si="2"/>
        <v>6.3492063492063492E-3</v>
      </c>
      <c r="H22" s="394">
        <v>2</v>
      </c>
      <c r="I22" s="390">
        <v>2</v>
      </c>
      <c r="J22" s="390">
        <v>1</v>
      </c>
      <c r="K22" s="86">
        <f t="shared" si="3"/>
        <v>5</v>
      </c>
      <c r="L22" s="397">
        <f t="shared" si="4"/>
        <v>4.7709923664122139E-3</v>
      </c>
    </row>
    <row r="23" spans="1:12" ht="13.5" customHeight="1" x14ac:dyDescent="0.2">
      <c r="A23" s="388" t="s">
        <v>39</v>
      </c>
      <c r="B23" s="389" t="s">
        <v>497</v>
      </c>
      <c r="C23" s="390">
        <v>2</v>
      </c>
      <c r="D23" s="390">
        <v>0</v>
      </c>
      <c r="E23" s="390">
        <v>0</v>
      </c>
      <c r="F23" s="86">
        <f t="shared" si="1"/>
        <v>2</v>
      </c>
      <c r="G23" s="396">
        <f t="shared" si="2"/>
        <v>6.3492063492063492E-3</v>
      </c>
      <c r="H23" s="394">
        <v>3</v>
      </c>
      <c r="I23" s="390">
        <v>0</v>
      </c>
      <c r="J23" s="390">
        <v>1</v>
      </c>
      <c r="K23" s="86">
        <f t="shared" si="3"/>
        <v>4</v>
      </c>
      <c r="L23" s="397">
        <f t="shared" si="4"/>
        <v>3.8167938931297708E-3</v>
      </c>
    </row>
    <row r="24" spans="1:12" ht="13.5" customHeight="1" x14ac:dyDescent="0.2">
      <c r="A24" s="388" t="s">
        <v>40</v>
      </c>
      <c r="B24" s="389" t="s">
        <v>237</v>
      </c>
      <c r="C24" s="390">
        <v>2</v>
      </c>
      <c r="D24" s="390">
        <v>0</v>
      </c>
      <c r="E24" s="390">
        <v>0</v>
      </c>
      <c r="F24" s="86">
        <f t="shared" si="1"/>
        <v>2</v>
      </c>
      <c r="G24" s="396">
        <f t="shared" si="2"/>
        <v>6.3492063492063492E-3</v>
      </c>
      <c r="H24" s="394">
        <v>4</v>
      </c>
      <c r="I24" s="390">
        <v>0</v>
      </c>
      <c r="J24" s="390">
        <v>0</v>
      </c>
      <c r="K24" s="86">
        <f t="shared" si="3"/>
        <v>4</v>
      </c>
      <c r="L24" s="397">
        <f t="shared" si="4"/>
        <v>3.8167938931297708E-3</v>
      </c>
    </row>
    <row r="25" spans="1:12" ht="13.5" customHeight="1" x14ac:dyDescent="0.2">
      <c r="A25" s="388" t="s">
        <v>41</v>
      </c>
      <c r="B25" s="389" t="s">
        <v>209</v>
      </c>
      <c r="C25" s="390">
        <v>2</v>
      </c>
      <c r="D25" s="390">
        <v>0</v>
      </c>
      <c r="E25" s="390">
        <v>0</v>
      </c>
      <c r="F25" s="86">
        <f t="shared" si="1"/>
        <v>2</v>
      </c>
      <c r="G25" s="396">
        <f t="shared" si="2"/>
        <v>6.3492063492063492E-3</v>
      </c>
      <c r="H25" s="394">
        <v>2</v>
      </c>
      <c r="I25" s="390">
        <v>0</v>
      </c>
      <c r="J25" s="390">
        <v>1</v>
      </c>
      <c r="K25" s="86">
        <f t="shared" si="3"/>
        <v>3</v>
      </c>
      <c r="L25" s="397">
        <f t="shared" si="4"/>
        <v>2.8625954198473282E-3</v>
      </c>
    </row>
    <row r="26" spans="1:12" ht="13.5" customHeight="1" x14ac:dyDescent="0.2">
      <c r="A26" s="388" t="s">
        <v>42</v>
      </c>
      <c r="B26" s="389" t="s">
        <v>212</v>
      </c>
      <c r="C26" s="390">
        <v>2</v>
      </c>
      <c r="D26" s="390">
        <v>0</v>
      </c>
      <c r="E26" s="390">
        <v>0</v>
      </c>
      <c r="F26" s="86">
        <f t="shared" si="1"/>
        <v>2</v>
      </c>
      <c r="G26" s="396">
        <f t="shared" si="2"/>
        <v>6.3492063492063492E-3</v>
      </c>
      <c r="H26" s="394">
        <v>4</v>
      </c>
      <c r="I26" s="390">
        <v>0</v>
      </c>
      <c r="J26" s="390">
        <v>0</v>
      </c>
      <c r="K26" s="86">
        <f t="shared" si="3"/>
        <v>4</v>
      </c>
      <c r="L26" s="397">
        <f t="shared" si="4"/>
        <v>3.8167938931297708E-3</v>
      </c>
    </row>
    <row r="27" spans="1:12" ht="13.5" customHeight="1" x14ac:dyDescent="0.2">
      <c r="A27" s="388" t="s">
        <v>43</v>
      </c>
      <c r="B27" s="389" t="s">
        <v>188</v>
      </c>
      <c r="C27" s="390">
        <v>0</v>
      </c>
      <c r="D27" s="390">
        <v>0</v>
      </c>
      <c r="E27" s="390">
        <v>1</v>
      </c>
      <c r="F27" s="86">
        <f t="shared" si="1"/>
        <v>1</v>
      </c>
      <c r="G27" s="396">
        <f t="shared" si="2"/>
        <v>3.1746031746031746E-3</v>
      </c>
      <c r="H27" s="394">
        <v>2</v>
      </c>
      <c r="I27" s="390">
        <v>1</v>
      </c>
      <c r="J27" s="390">
        <v>2</v>
      </c>
      <c r="K27" s="86">
        <f t="shared" si="3"/>
        <v>5</v>
      </c>
      <c r="L27" s="397">
        <f t="shared" si="4"/>
        <v>4.7709923664122139E-3</v>
      </c>
    </row>
    <row r="28" spans="1:12" ht="13.5" customHeight="1" x14ac:dyDescent="0.2">
      <c r="A28" s="388" t="s">
        <v>44</v>
      </c>
      <c r="B28" s="389" t="s">
        <v>217</v>
      </c>
      <c r="C28" s="390">
        <v>1</v>
      </c>
      <c r="D28" s="390">
        <v>0</v>
      </c>
      <c r="E28" s="390">
        <v>0</v>
      </c>
      <c r="F28" s="86">
        <f t="shared" si="1"/>
        <v>1</v>
      </c>
      <c r="G28" s="396">
        <f t="shared" si="2"/>
        <v>3.1746031746031746E-3</v>
      </c>
      <c r="H28" s="394">
        <v>2</v>
      </c>
      <c r="I28" s="390">
        <v>0</v>
      </c>
      <c r="J28" s="390">
        <v>1</v>
      </c>
      <c r="K28" s="86">
        <f t="shared" si="3"/>
        <v>3</v>
      </c>
      <c r="L28" s="397">
        <f t="shared" si="4"/>
        <v>2.8625954198473282E-3</v>
      </c>
    </row>
    <row r="29" spans="1:12" ht="13.5" customHeight="1" x14ac:dyDescent="0.2">
      <c r="A29" s="388" t="s">
        <v>45</v>
      </c>
      <c r="B29" s="389" t="s">
        <v>415</v>
      </c>
      <c r="C29" s="390">
        <v>0</v>
      </c>
      <c r="D29" s="390">
        <v>0</v>
      </c>
      <c r="E29" s="390">
        <v>1</v>
      </c>
      <c r="F29" s="86">
        <f t="shared" si="1"/>
        <v>1</v>
      </c>
      <c r="G29" s="396">
        <f t="shared" si="2"/>
        <v>3.1746031746031746E-3</v>
      </c>
      <c r="H29" s="394">
        <v>0</v>
      </c>
      <c r="I29" s="390">
        <v>0</v>
      </c>
      <c r="J29" s="390">
        <v>2</v>
      </c>
      <c r="K29" s="86">
        <f t="shared" si="3"/>
        <v>2</v>
      </c>
      <c r="L29" s="397">
        <f t="shared" si="4"/>
        <v>1.9083969465648854E-3</v>
      </c>
    </row>
    <row r="30" spans="1:12" ht="13.5" customHeight="1" x14ac:dyDescent="0.2">
      <c r="A30" s="388" t="s">
        <v>46</v>
      </c>
      <c r="B30" s="389" t="s">
        <v>166</v>
      </c>
      <c r="C30" s="390">
        <v>1</v>
      </c>
      <c r="D30" s="390">
        <v>0</v>
      </c>
      <c r="E30" s="390">
        <v>0</v>
      </c>
      <c r="F30" s="86">
        <f t="shared" si="1"/>
        <v>1</v>
      </c>
      <c r="G30" s="396">
        <f t="shared" si="2"/>
        <v>3.1746031746031746E-3</v>
      </c>
      <c r="H30" s="394">
        <v>2</v>
      </c>
      <c r="I30" s="390">
        <v>0</v>
      </c>
      <c r="J30" s="390">
        <v>0</v>
      </c>
      <c r="K30" s="86">
        <f t="shared" si="3"/>
        <v>2</v>
      </c>
      <c r="L30" s="397">
        <f t="shared" si="4"/>
        <v>1.9083969465648854E-3</v>
      </c>
    </row>
    <row r="31" spans="1:12" ht="13.5" customHeight="1" x14ac:dyDescent="0.2">
      <c r="A31" s="388" t="s">
        <v>47</v>
      </c>
      <c r="B31" s="389" t="s">
        <v>191</v>
      </c>
      <c r="C31" s="390">
        <v>1</v>
      </c>
      <c r="D31" s="390">
        <v>0</v>
      </c>
      <c r="E31" s="390">
        <v>0</v>
      </c>
      <c r="F31" s="86">
        <f t="shared" si="1"/>
        <v>1</v>
      </c>
      <c r="G31" s="396">
        <f t="shared" si="2"/>
        <v>3.1746031746031746E-3</v>
      </c>
      <c r="H31" s="394">
        <v>1</v>
      </c>
      <c r="I31" s="390">
        <v>0</v>
      </c>
      <c r="J31" s="390">
        <v>1</v>
      </c>
      <c r="K31" s="86">
        <f t="shared" si="3"/>
        <v>2</v>
      </c>
      <c r="L31" s="397">
        <f t="shared" si="4"/>
        <v>1.9083969465648854E-3</v>
      </c>
    </row>
    <row r="32" spans="1:12" ht="13.5" customHeight="1" x14ac:dyDescent="0.2">
      <c r="A32" s="388" t="s">
        <v>48</v>
      </c>
      <c r="B32" s="389" t="s">
        <v>197</v>
      </c>
      <c r="C32" s="390">
        <v>1</v>
      </c>
      <c r="D32" s="390">
        <v>0</v>
      </c>
      <c r="E32" s="390">
        <v>0</v>
      </c>
      <c r="F32" s="86">
        <f t="shared" si="1"/>
        <v>1</v>
      </c>
      <c r="G32" s="396">
        <f t="shared" si="2"/>
        <v>3.1746031746031746E-3</v>
      </c>
      <c r="H32" s="394">
        <v>4</v>
      </c>
      <c r="I32" s="390">
        <v>0</v>
      </c>
      <c r="J32" s="390">
        <v>0</v>
      </c>
      <c r="K32" s="86">
        <f t="shared" si="3"/>
        <v>4</v>
      </c>
      <c r="L32" s="397">
        <f t="shared" si="4"/>
        <v>3.8167938931297708E-3</v>
      </c>
    </row>
    <row r="33" spans="1:12" ht="13.5" customHeight="1" x14ac:dyDescent="0.2">
      <c r="A33" s="388" t="s">
        <v>49</v>
      </c>
      <c r="B33" s="389" t="s">
        <v>182</v>
      </c>
      <c r="C33" s="390">
        <v>0</v>
      </c>
      <c r="D33" s="390">
        <v>0</v>
      </c>
      <c r="E33" s="390">
        <v>1</v>
      </c>
      <c r="F33" s="86">
        <f t="shared" si="1"/>
        <v>1</v>
      </c>
      <c r="G33" s="396">
        <f t="shared" si="2"/>
        <v>3.1746031746031746E-3</v>
      </c>
      <c r="H33" s="394">
        <v>1</v>
      </c>
      <c r="I33" s="390">
        <v>0</v>
      </c>
      <c r="J33" s="390">
        <v>1</v>
      </c>
      <c r="K33" s="86">
        <f t="shared" si="3"/>
        <v>2</v>
      </c>
      <c r="L33" s="397">
        <f t="shared" si="4"/>
        <v>1.9083969465648854E-3</v>
      </c>
    </row>
    <row r="34" spans="1:12" ht="13.5" customHeight="1" x14ac:dyDescent="0.2">
      <c r="A34" s="388" t="s">
        <v>50</v>
      </c>
      <c r="B34" s="389" t="s">
        <v>498</v>
      </c>
      <c r="C34" s="390">
        <v>1</v>
      </c>
      <c r="D34" s="390">
        <v>0</v>
      </c>
      <c r="E34" s="390">
        <v>0</v>
      </c>
      <c r="F34" s="86">
        <f t="shared" si="1"/>
        <v>1</v>
      </c>
      <c r="G34" s="396">
        <f t="shared" si="2"/>
        <v>3.1746031746031746E-3</v>
      </c>
      <c r="H34" s="394">
        <v>1</v>
      </c>
      <c r="I34" s="390">
        <v>0</v>
      </c>
      <c r="J34" s="390">
        <v>0</v>
      </c>
      <c r="K34" s="86">
        <f t="shared" si="3"/>
        <v>1</v>
      </c>
      <c r="L34" s="397">
        <f t="shared" si="4"/>
        <v>9.5419847328244271E-4</v>
      </c>
    </row>
    <row r="35" spans="1:12" ht="13.5" customHeight="1" x14ac:dyDescent="0.2">
      <c r="A35" s="388" t="s">
        <v>51</v>
      </c>
      <c r="B35" s="389" t="s">
        <v>418</v>
      </c>
      <c r="C35" s="390">
        <v>1</v>
      </c>
      <c r="D35" s="390">
        <v>0</v>
      </c>
      <c r="E35" s="390">
        <v>0</v>
      </c>
      <c r="F35" s="86">
        <f t="shared" si="1"/>
        <v>1</v>
      </c>
      <c r="G35" s="396">
        <f t="shared" si="2"/>
        <v>3.1746031746031746E-3</v>
      </c>
      <c r="H35" s="394">
        <v>1</v>
      </c>
      <c r="I35" s="390">
        <v>0</v>
      </c>
      <c r="J35" s="390">
        <v>0</v>
      </c>
      <c r="K35" s="86">
        <f t="shared" si="3"/>
        <v>1</v>
      </c>
      <c r="L35" s="397">
        <f t="shared" si="4"/>
        <v>9.5419847328244271E-4</v>
      </c>
    </row>
    <row r="36" spans="1:12" ht="13.5" customHeight="1" x14ac:dyDescent="0.2">
      <c r="A36" s="388" t="s">
        <v>52</v>
      </c>
      <c r="B36" s="389" t="s">
        <v>193</v>
      </c>
      <c r="C36" s="390">
        <v>1</v>
      </c>
      <c r="D36" s="390">
        <v>0</v>
      </c>
      <c r="E36" s="390">
        <v>0</v>
      </c>
      <c r="F36" s="86">
        <f t="shared" si="1"/>
        <v>1</v>
      </c>
      <c r="G36" s="396">
        <f t="shared" si="2"/>
        <v>3.1746031746031746E-3</v>
      </c>
      <c r="H36" s="394">
        <v>1</v>
      </c>
      <c r="I36" s="390">
        <v>0</v>
      </c>
      <c r="J36" s="390">
        <v>0</v>
      </c>
      <c r="K36" s="86">
        <f t="shared" si="3"/>
        <v>1</v>
      </c>
      <c r="L36" s="397">
        <f t="shared" si="4"/>
        <v>9.5419847328244271E-4</v>
      </c>
    </row>
    <row r="37" spans="1:12" ht="13.5" customHeight="1" x14ac:dyDescent="0.2">
      <c r="A37" s="388" t="s">
        <v>53</v>
      </c>
      <c r="B37" s="389" t="s">
        <v>419</v>
      </c>
      <c r="C37" s="390">
        <v>1</v>
      </c>
      <c r="D37" s="390">
        <v>0</v>
      </c>
      <c r="E37" s="390">
        <v>0</v>
      </c>
      <c r="F37" s="86">
        <f t="shared" si="1"/>
        <v>1</v>
      </c>
      <c r="G37" s="396">
        <f t="shared" si="2"/>
        <v>3.1746031746031746E-3</v>
      </c>
      <c r="H37" s="394">
        <v>1</v>
      </c>
      <c r="I37" s="390">
        <v>0</v>
      </c>
      <c r="J37" s="390">
        <v>0</v>
      </c>
      <c r="K37" s="86">
        <f t="shared" si="3"/>
        <v>1</v>
      </c>
      <c r="L37" s="397">
        <f t="shared" si="4"/>
        <v>9.5419847328244271E-4</v>
      </c>
    </row>
    <row r="38" spans="1:12" ht="13.5" customHeight="1" x14ac:dyDescent="0.2">
      <c r="A38" s="388" t="s">
        <v>54</v>
      </c>
      <c r="B38" s="389" t="s">
        <v>499</v>
      </c>
      <c r="C38" s="390">
        <v>1</v>
      </c>
      <c r="D38" s="390">
        <v>0</v>
      </c>
      <c r="E38" s="390">
        <v>0</v>
      </c>
      <c r="F38" s="86">
        <f t="shared" si="1"/>
        <v>1</v>
      </c>
      <c r="G38" s="396">
        <f t="shared" si="2"/>
        <v>3.1746031746031746E-3</v>
      </c>
      <c r="H38" s="394">
        <v>1</v>
      </c>
      <c r="I38" s="390">
        <v>0</v>
      </c>
      <c r="J38" s="390">
        <v>0</v>
      </c>
      <c r="K38" s="86">
        <f t="shared" si="3"/>
        <v>1</v>
      </c>
      <c r="L38" s="397">
        <f t="shared" si="4"/>
        <v>9.5419847328244271E-4</v>
      </c>
    </row>
    <row r="39" spans="1:12" ht="13.5" customHeight="1" x14ac:dyDescent="0.2">
      <c r="A39" s="388" t="s">
        <v>55</v>
      </c>
      <c r="B39" s="389" t="s">
        <v>171</v>
      </c>
      <c r="C39" s="390">
        <v>1</v>
      </c>
      <c r="D39" s="390">
        <v>0</v>
      </c>
      <c r="E39" s="390">
        <v>0</v>
      </c>
      <c r="F39" s="86">
        <f t="shared" si="1"/>
        <v>1</v>
      </c>
      <c r="G39" s="396">
        <f t="shared" si="2"/>
        <v>3.1746031746031746E-3</v>
      </c>
      <c r="H39" s="394">
        <v>1</v>
      </c>
      <c r="I39" s="390">
        <v>0</v>
      </c>
      <c r="J39" s="390">
        <v>0</v>
      </c>
      <c r="K39" s="86">
        <f t="shared" si="3"/>
        <v>1</v>
      </c>
      <c r="L39" s="397">
        <f t="shared" si="4"/>
        <v>9.5419847328244271E-4</v>
      </c>
    </row>
    <row r="40" spans="1:12" ht="13.5" customHeight="1" x14ac:dyDescent="0.2">
      <c r="A40" s="388" t="s">
        <v>56</v>
      </c>
      <c r="B40" s="389" t="s">
        <v>174</v>
      </c>
      <c r="C40" s="390">
        <v>1</v>
      </c>
      <c r="D40" s="390">
        <v>0</v>
      </c>
      <c r="E40" s="390">
        <v>0</v>
      </c>
      <c r="F40" s="86">
        <f t="shared" si="1"/>
        <v>1</v>
      </c>
      <c r="G40" s="396">
        <f t="shared" si="2"/>
        <v>3.1746031746031746E-3</v>
      </c>
      <c r="H40" s="394">
        <v>1</v>
      </c>
      <c r="I40" s="390">
        <v>0</v>
      </c>
      <c r="J40" s="390">
        <v>0</v>
      </c>
      <c r="K40" s="86">
        <f t="shared" si="3"/>
        <v>1</v>
      </c>
      <c r="L40" s="397">
        <f t="shared" si="4"/>
        <v>9.5419847328244271E-4</v>
      </c>
    </row>
    <row r="41" spans="1:12" ht="13.5" customHeight="1" x14ac:dyDescent="0.2">
      <c r="A41" s="388" t="s">
        <v>57</v>
      </c>
      <c r="B41" s="389" t="s">
        <v>207</v>
      </c>
      <c r="C41" s="390">
        <v>0</v>
      </c>
      <c r="D41" s="390">
        <v>0</v>
      </c>
      <c r="E41" s="390">
        <v>0</v>
      </c>
      <c r="F41" s="86">
        <f t="shared" si="1"/>
        <v>0</v>
      </c>
      <c r="G41" s="396">
        <f t="shared" si="2"/>
        <v>0</v>
      </c>
      <c r="H41" s="394">
        <v>1</v>
      </c>
      <c r="I41" s="390">
        <v>0</v>
      </c>
      <c r="J41" s="390">
        <v>1</v>
      </c>
      <c r="K41" s="86">
        <f t="shared" si="3"/>
        <v>2</v>
      </c>
      <c r="L41" s="397">
        <f t="shared" si="4"/>
        <v>1.9083969465648854E-3</v>
      </c>
    </row>
    <row r="42" spans="1:12" ht="13.5" customHeight="1" x14ac:dyDescent="0.2">
      <c r="A42" s="388" t="s">
        <v>58</v>
      </c>
      <c r="B42" s="389" t="s">
        <v>206</v>
      </c>
      <c r="C42" s="390">
        <v>0</v>
      </c>
      <c r="D42" s="390">
        <v>0</v>
      </c>
      <c r="E42" s="390">
        <v>0</v>
      </c>
      <c r="F42" s="86">
        <f t="shared" si="1"/>
        <v>0</v>
      </c>
      <c r="G42" s="396">
        <f t="shared" si="2"/>
        <v>0</v>
      </c>
      <c r="H42" s="394">
        <v>1</v>
      </c>
      <c r="I42" s="390">
        <v>0</v>
      </c>
      <c r="J42" s="390">
        <v>1</v>
      </c>
      <c r="K42" s="86">
        <f t="shared" si="3"/>
        <v>2</v>
      </c>
      <c r="L42" s="397">
        <f t="shared" si="4"/>
        <v>1.9083969465648854E-3</v>
      </c>
    </row>
    <row r="43" spans="1:12" ht="13.5" customHeight="1" x14ac:dyDescent="0.2">
      <c r="A43" s="388" t="s">
        <v>59</v>
      </c>
      <c r="B43" s="389" t="s">
        <v>500</v>
      </c>
      <c r="C43" s="390">
        <v>0</v>
      </c>
      <c r="D43" s="390">
        <v>0</v>
      </c>
      <c r="E43" s="390">
        <v>0</v>
      </c>
      <c r="F43" s="86">
        <f t="shared" si="1"/>
        <v>0</v>
      </c>
      <c r="G43" s="396">
        <f t="shared" si="2"/>
        <v>0</v>
      </c>
      <c r="H43" s="394">
        <v>2</v>
      </c>
      <c r="I43" s="390">
        <v>0</v>
      </c>
      <c r="J43" s="390">
        <v>0</v>
      </c>
      <c r="K43" s="86">
        <f t="shared" si="3"/>
        <v>2</v>
      </c>
      <c r="L43" s="397">
        <f t="shared" si="4"/>
        <v>1.9083969465648854E-3</v>
      </c>
    </row>
    <row r="44" spans="1:12" ht="13.5" customHeight="1" x14ac:dyDescent="0.2">
      <c r="A44" s="388" t="s">
        <v>60</v>
      </c>
      <c r="B44" s="389" t="s">
        <v>308</v>
      </c>
      <c r="C44" s="390">
        <v>0</v>
      </c>
      <c r="D44" s="390">
        <v>0</v>
      </c>
      <c r="E44" s="390">
        <v>0</v>
      </c>
      <c r="F44" s="86">
        <f t="shared" si="1"/>
        <v>0</v>
      </c>
      <c r="G44" s="396">
        <f t="shared" si="2"/>
        <v>0</v>
      </c>
      <c r="H44" s="394">
        <v>1</v>
      </c>
      <c r="I44" s="390">
        <v>0</v>
      </c>
      <c r="J44" s="390">
        <v>0</v>
      </c>
      <c r="K44" s="86">
        <f t="shared" si="3"/>
        <v>1</v>
      </c>
      <c r="L44" s="397">
        <f t="shared" si="4"/>
        <v>9.5419847328244271E-4</v>
      </c>
    </row>
    <row r="45" spans="1:12" ht="13.5" customHeight="1" x14ac:dyDescent="0.2">
      <c r="A45" s="388" t="s">
        <v>420</v>
      </c>
      <c r="B45" s="389" t="s">
        <v>421</v>
      </c>
      <c r="C45" s="390">
        <v>0</v>
      </c>
      <c r="D45" s="390">
        <v>0</v>
      </c>
      <c r="E45" s="390">
        <v>0</v>
      </c>
      <c r="F45" s="86">
        <f t="shared" si="1"/>
        <v>0</v>
      </c>
      <c r="G45" s="396">
        <f t="shared" si="2"/>
        <v>0</v>
      </c>
      <c r="H45" s="394">
        <v>1</v>
      </c>
      <c r="I45" s="390">
        <v>0</v>
      </c>
      <c r="J45" s="390">
        <v>0</v>
      </c>
      <c r="K45" s="86">
        <f t="shared" si="3"/>
        <v>1</v>
      </c>
      <c r="L45" s="397">
        <f t="shared" si="4"/>
        <v>9.5419847328244271E-4</v>
      </c>
    </row>
    <row r="46" spans="1:12" ht="13.5" customHeight="1" x14ac:dyDescent="0.2">
      <c r="A46" s="388" t="s">
        <v>422</v>
      </c>
      <c r="B46" s="389" t="s">
        <v>210</v>
      </c>
      <c r="C46" s="390">
        <v>0</v>
      </c>
      <c r="D46" s="390">
        <v>0</v>
      </c>
      <c r="E46" s="390">
        <v>0</v>
      </c>
      <c r="F46" s="86">
        <f t="shared" si="1"/>
        <v>0</v>
      </c>
      <c r="G46" s="396">
        <f t="shared" si="2"/>
        <v>0</v>
      </c>
      <c r="H46" s="394">
        <v>1</v>
      </c>
      <c r="I46" s="390">
        <v>0</v>
      </c>
      <c r="J46" s="390">
        <v>0</v>
      </c>
      <c r="K46" s="86">
        <f t="shared" si="3"/>
        <v>1</v>
      </c>
      <c r="L46" s="397">
        <f t="shared" si="4"/>
        <v>9.5419847328244271E-4</v>
      </c>
    </row>
    <row r="47" spans="1:12" ht="13.5" customHeight="1" x14ac:dyDescent="0.2">
      <c r="A47" s="388" t="s">
        <v>423</v>
      </c>
      <c r="B47" s="389" t="s">
        <v>226</v>
      </c>
      <c r="C47" s="390">
        <v>0</v>
      </c>
      <c r="D47" s="390">
        <v>0</v>
      </c>
      <c r="E47" s="390">
        <v>0</v>
      </c>
      <c r="F47" s="86">
        <f t="shared" si="1"/>
        <v>0</v>
      </c>
      <c r="G47" s="396">
        <f t="shared" si="2"/>
        <v>0</v>
      </c>
      <c r="H47" s="394">
        <v>1</v>
      </c>
      <c r="I47" s="390">
        <v>0</v>
      </c>
      <c r="J47" s="390">
        <v>0</v>
      </c>
      <c r="K47" s="86">
        <f t="shared" si="3"/>
        <v>1</v>
      </c>
      <c r="L47" s="397">
        <f t="shared" si="4"/>
        <v>9.5419847328244271E-4</v>
      </c>
    </row>
    <row r="48" spans="1:12" ht="13.5" customHeight="1" x14ac:dyDescent="0.2">
      <c r="A48" s="388" t="s">
        <v>424</v>
      </c>
      <c r="B48" s="389" t="s">
        <v>192</v>
      </c>
      <c r="C48" s="390">
        <v>0</v>
      </c>
      <c r="D48" s="390">
        <v>0</v>
      </c>
      <c r="E48" s="390">
        <v>0</v>
      </c>
      <c r="F48" s="86">
        <f t="shared" si="1"/>
        <v>0</v>
      </c>
      <c r="G48" s="396">
        <f t="shared" si="2"/>
        <v>0</v>
      </c>
      <c r="H48" s="394">
        <v>1</v>
      </c>
      <c r="I48" s="390">
        <v>0</v>
      </c>
      <c r="J48" s="390">
        <v>0</v>
      </c>
      <c r="K48" s="86">
        <f t="shared" si="3"/>
        <v>1</v>
      </c>
      <c r="L48" s="397">
        <f t="shared" si="4"/>
        <v>9.5419847328244271E-4</v>
      </c>
    </row>
    <row r="49" spans="1:12" ht="13.5" customHeight="1" x14ac:dyDescent="0.2">
      <c r="A49" s="388" t="s">
        <v>425</v>
      </c>
      <c r="B49" s="389" t="s">
        <v>426</v>
      </c>
      <c r="C49" s="390">
        <v>0</v>
      </c>
      <c r="D49" s="390">
        <v>0</v>
      </c>
      <c r="E49" s="390">
        <v>0</v>
      </c>
      <c r="F49" s="86">
        <f t="shared" si="1"/>
        <v>0</v>
      </c>
      <c r="G49" s="396">
        <f t="shared" si="2"/>
        <v>0</v>
      </c>
      <c r="H49" s="394">
        <v>1</v>
      </c>
      <c r="I49" s="390">
        <v>0</v>
      </c>
      <c r="J49" s="390">
        <v>0</v>
      </c>
      <c r="K49" s="86">
        <f t="shared" si="3"/>
        <v>1</v>
      </c>
      <c r="L49" s="397">
        <f t="shared" si="4"/>
        <v>9.5419847328244271E-4</v>
      </c>
    </row>
    <row r="50" spans="1:12" ht="13.5" customHeight="1" x14ac:dyDescent="0.2">
      <c r="A50" s="388" t="s">
        <v>427</v>
      </c>
      <c r="B50" s="389" t="s">
        <v>167</v>
      </c>
      <c r="C50" s="390">
        <v>0</v>
      </c>
      <c r="D50" s="390">
        <v>0</v>
      </c>
      <c r="E50" s="390">
        <v>0</v>
      </c>
      <c r="F50" s="86">
        <f t="shared" si="1"/>
        <v>0</v>
      </c>
      <c r="G50" s="396">
        <f t="shared" si="2"/>
        <v>0</v>
      </c>
      <c r="H50" s="394">
        <v>0</v>
      </c>
      <c r="I50" s="390">
        <v>1</v>
      </c>
      <c r="J50" s="390">
        <v>0</v>
      </c>
      <c r="K50" s="86">
        <f t="shared" si="3"/>
        <v>1</v>
      </c>
      <c r="L50" s="397">
        <f t="shared" si="4"/>
        <v>9.5419847328244271E-4</v>
      </c>
    </row>
    <row r="51" spans="1:12" ht="13.5" customHeight="1" x14ac:dyDescent="0.2">
      <c r="A51" s="388" t="s">
        <v>428</v>
      </c>
      <c r="B51" s="389" t="s">
        <v>429</v>
      </c>
      <c r="C51" s="390">
        <v>0</v>
      </c>
      <c r="D51" s="390">
        <v>0</v>
      </c>
      <c r="E51" s="390">
        <v>0</v>
      </c>
      <c r="F51" s="86">
        <f t="shared" si="1"/>
        <v>0</v>
      </c>
      <c r="G51" s="396">
        <f t="shared" si="2"/>
        <v>0</v>
      </c>
      <c r="H51" s="394">
        <v>2</v>
      </c>
      <c r="I51" s="390">
        <v>1</v>
      </c>
      <c r="J51" s="390">
        <v>0</v>
      </c>
      <c r="K51" s="86">
        <f t="shared" si="3"/>
        <v>3</v>
      </c>
      <c r="L51" s="397">
        <f t="shared" si="4"/>
        <v>2.8625954198473282E-3</v>
      </c>
    </row>
    <row r="52" spans="1:12" ht="13.5" customHeight="1" x14ac:dyDescent="0.2">
      <c r="A52" s="388" t="s">
        <v>430</v>
      </c>
      <c r="B52" s="389" t="s">
        <v>417</v>
      </c>
      <c r="C52" s="390">
        <v>0</v>
      </c>
      <c r="D52" s="390">
        <v>0</v>
      </c>
      <c r="E52" s="390">
        <v>0</v>
      </c>
      <c r="F52" s="86">
        <f t="shared" si="1"/>
        <v>0</v>
      </c>
      <c r="G52" s="396">
        <f t="shared" si="2"/>
        <v>0</v>
      </c>
      <c r="H52" s="394">
        <v>0</v>
      </c>
      <c r="I52" s="390">
        <v>0</v>
      </c>
      <c r="J52" s="390">
        <v>2</v>
      </c>
      <c r="K52" s="86">
        <f t="shared" si="3"/>
        <v>2</v>
      </c>
      <c r="L52" s="397">
        <f t="shared" si="4"/>
        <v>1.9083969465648854E-3</v>
      </c>
    </row>
    <row r="53" spans="1:12" ht="13.5" customHeight="1" x14ac:dyDescent="0.2">
      <c r="A53" s="388" t="s">
        <v>431</v>
      </c>
      <c r="B53" s="389" t="s">
        <v>501</v>
      </c>
      <c r="C53" s="390">
        <v>0</v>
      </c>
      <c r="D53" s="390">
        <v>0</v>
      </c>
      <c r="E53" s="390">
        <v>0</v>
      </c>
      <c r="F53" s="86">
        <f t="shared" si="1"/>
        <v>0</v>
      </c>
      <c r="G53" s="396">
        <f t="shared" si="2"/>
        <v>0</v>
      </c>
      <c r="H53" s="394">
        <v>1</v>
      </c>
      <c r="I53" s="390">
        <v>0</v>
      </c>
      <c r="J53" s="390">
        <v>0</v>
      </c>
      <c r="K53" s="86">
        <f t="shared" si="3"/>
        <v>1</v>
      </c>
      <c r="L53" s="397">
        <f t="shared" si="4"/>
        <v>9.5419847328244271E-4</v>
      </c>
    </row>
    <row r="54" spans="1:12" ht="13.5" customHeight="1" x14ac:dyDescent="0.2">
      <c r="A54" s="388" t="s">
        <v>432</v>
      </c>
      <c r="B54" s="389" t="s">
        <v>433</v>
      </c>
      <c r="C54" s="390">
        <v>0</v>
      </c>
      <c r="D54" s="390">
        <v>0</v>
      </c>
      <c r="E54" s="390">
        <v>0</v>
      </c>
      <c r="F54" s="86">
        <f t="shared" si="1"/>
        <v>0</v>
      </c>
      <c r="G54" s="396">
        <f t="shared" si="2"/>
        <v>0</v>
      </c>
      <c r="H54" s="394">
        <v>0</v>
      </c>
      <c r="I54" s="390">
        <v>0</v>
      </c>
      <c r="J54" s="390">
        <v>1</v>
      </c>
      <c r="K54" s="86">
        <f t="shared" si="3"/>
        <v>1</v>
      </c>
      <c r="L54" s="397">
        <f t="shared" si="4"/>
        <v>9.5419847328244271E-4</v>
      </c>
    </row>
    <row r="55" spans="1:12" ht="13.5" customHeight="1" x14ac:dyDescent="0.2">
      <c r="A55" s="391" t="s">
        <v>434</v>
      </c>
      <c r="B55" s="392" t="s">
        <v>435</v>
      </c>
      <c r="C55" s="393">
        <v>0</v>
      </c>
      <c r="D55" s="393">
        <v>0</v>
      </c>
      <c r="E55" s="393">
        <v>0</v>
      </c>
      <c r="F55" s="86">
        <f t="shared" si="1"/>
        <v>0</v>
      </c>
      <c r="G55" s="396">
        <f t="shared" si="2"/>
        <v>0</v>
      </c>
      <c r="H55" s="395">
        <v>0</v>
      </c>
      <c r="I55" s="393">
        <v>0</v>
      </c>
      <c r="J55" s="393">
        <v>1</v>
      </c>
      <c r="K55" s="86">
        <f t="shared" si="3"/>
        <v>1</v>
      </c>
      <c r="L55" s="397">
        <f t="shared" si="4"/>
        <v>9.5419847328244271E-4</v>
      </c>
    </row>
  </sheetData>
  <mergeCells count="5">
    <mergeCell ref="C4:G4"/>
    <mergeCell ref="H4:L4"/>
    <mergeCell ref="B4:B5"/>
    <mergeCell ref="A4:A5"/>
    <mergeCell ref="A2:L2"/>
  </mergeCells>
  <phoneticPr fontId="8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95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H39"/>
  <sheetViews>
    <sheetView tabSelected="1" zoomScale="85" zoomScaleNormal="85" workbookViewId="0">
      <selection activeCell="E7" sqref="E7"/>
    </sheetView>
  </sheetViews>
  <sheetFormatPr defaultRowHeight="14.25" x14ac:dyDescent="0.2"/>
  <cols>
    <col min="1" max="1" width="5.7109375" style="3" customWidth="1"/>
    <col min="2" max="2" width="42" style="7" customWidth="1"/>
    <col min="3" max="6" width="12.28515625" style="2" customWidth="1"/>
    <col min="7" max="7" width="12" style="2" customWidth="1"/>
    <col min="8" max="16384" width="9.140625" style="2"/>
  </cols>
  <sheetData>
    <row r="1" spans="1:8" ht="18" x14ac:dyDescent="0.25">
      <c r="A1" s="4"/>
      <c r="B1" s="6"/>
      <c r="C1" s="5"/>
      <c r="D1" s="5"/>
      <c r="E1" s="5"/>
      <c r="F1" s="5"/>
      <c r="G1" s="51" t="s">
        <v>335</v>
      </c>
      <c r="H1" s="25"/>
    </row>
    <row r="2" spans="1:8" ht="16.5" x14ac:dyDescent="0.25">
      <c r="A2" s="4"/>
      <c r="B2" s="6"/>
      <c r="C2" s="5"/>
      <c r="D2" s="5"/>
      <c r="E2" s="5"/>
      <c r="F2" s="5"/>
      <c r="G2" s="5"/>
    </row>
    <row r="3" spans="1:8" ht="31.5" customHeight="1" x14ac:dyDescent="0.2">
      <c r="A3" s="551" t="s">
        <v>535</v>
      </c>
      <c r="B3" s="551"/>
      <c r="C3" s="551"/>
      <c r="D3" s="551"/>
      <c r="E3" s="551"/>
      <c r="F3" s="551"/>
      <c r="G3" s="551"/>
    </row>
    <row r="4" spans="1:8" ht="18.75" thickBot="1" x14ac:dyDescent="0.3">
      <c r="A4" s="26"/>
      <c r="B4" s="27"/>
      <c r="C4" s="17"/>
      <c r="D4" s="17"/>
      <c r="E4" s="17"/>
      <c r="F4" s="17"/>
      <c r="G4" s="17"/>
    </row>
    <row r="5" spans="1:8" s="1" customFormat="1" ht="39.950000000000003" customHeight="1" thickBot="1" x14ac:dyDescent="0.3">
      <c r="A5" s="46" t="s">
        <v>93</v>
      </c>
      <c r="B5" s="77" t="s">
        <v>153</v>
      </c>
      <c r="C5" s="77" t="str">
        <f>'2-жадвал'!C5</f>
        <v>2024-йил</v>
      </c>
      <c r="D5" s="77" t="str">
        <f>'2-жадвал'!D5</f>
        <v>2025-йил</v>
      </c>
      <c r="E5" s="78" t="s">
        <v>336</v>
      </c>
      <c r="F5" s="78" t="s">
        <v>404</v>
      </c>
      <c r="G5" s="78" t="s">
        <v>379</v>
      </c>
    </row>
    <row r="6" spans="1:8" s="1" customFormat="1" ht="7.5" customHeight="1" x14ac:dyDescent="0.25">
      <c r="A6" s="28"/>
      <c r="B6" s="29"/>
      <c r="C6" s="30"/>
      <c r="D6" s="30"/>
      <c r="E6" s="30"/>
      <c r="F6" s="30"/>
      <c r="G6" s="29"/>
    </row>
    <row r="7" spans="1:8" ht="50.1" customHeight="1" x14ac:dyDescent="0.2">
      <c r="A7" s="32">
        <v>1</v>
      </c>
      <c r="B7" s="92" t="s">
        <v>405</v>
      </c>
      <c r="C7" s="407">
        <v>7407.9</v>
      </c>
      <c r="D7" s="407">
        <v>11839</v>
      </c>
      <c r="E7" s="343">
        <v>1</v>
      </c>
      <c r="F7" s="343">
        <v>1</v>
      </c>
      <c r="G7" s="309">
        <f>IFERROR(D7/C7, "-")</f>
        <v>1.5981587224449574</v>
      </c>
    </row>
    <row r="8" spans="1:8" s="98" customFormat="1" ht="18" x14ac:dyDescent="0.2">
      <c r="A8" s="95"/>
      <c r="B8" s="96" t="s">
        <v>146</v>
      </c>
      <c r="C8" s="408"/>
      <c r="D8" s="408"/>
      <c r="E8" s="344"/>
      <c r="F8" s="344"/>
      <c r="G8" s="344"/>
    </row>
    <row r="9" spans="1:8" s="98" customFormat="1" ht="33" customHeight="1" x14ac:dyDescent="0.2">
      <c r="A9" s="99" t="s">
        <v>3</v>
      </c>
      <c r="B9" s="91" t="s">
        <v>409</v>
      </c>
      <c r="C9" s="409">
        <v>3780.95</v>
      </c>
      <c r="D9" s="409">
        <v>6513.3</v>
      </c>
      <c r="E9" s="345">
        <v>0.26483288606977312</v>
      </c>
      <c r="F9" s="345">
        <v>0.73516711393022693</v>
      </c>
      <c r="G9" s="344">
        <f t="shared" ref="G9:G19" si="0">IFERROR(D9/C9, "-")</f>
        <v>1.7226622938679435</v>
      </c>
    </row>
    <row r="10" spans="1:8" s="98" customFormat="1" ht="36.75" x14ac:dyDescent="0.2">
      <c r="A10" s="99" t="s">
        <v>4</v>
      </c>
      <c r="B10" s="91" t="s">
        <v>408</v>
      </c>
      <c r="C10" s="409">
        <v>3626.95</v>
      </c>
      <c r="D10" s="409">
        <v>5325.7</v>
      </c>
      <c r="E10" s="345">
        <v>0.60443763477471335</v>
      </c>
      <c r="F10" s="345">
        <v>0.39556236522528665</v>
      </c>
      <c r="G10" s="344">
        <f t="shared" si="0"/>
        <v>1.4683687395745737</v>
      </c>
    </row>
    <row r="11" spans="1:8" ht="49.5" customHeight="1" x14ac:dyDescent="0.2">
      <c r="A11" s="14" t="s">
        <v>6</v>
      </c>
      <c r="B11" s="31" t="s">
        <v>410</v>
      </c>
      <c r="C11" s="409">
        <v>273.85000000000002</v>
      </c>
      <c r="D11" s="409">
        <v>409.21</v>
      </c>
      <c r="E11" s="345">
        <v>0.57280235162374016</v>
      </c>
      <c r="F11" s="346">
        <v>0.42719764837625984</v>
      </c>
      <c r="G11" s="308">
        <f t="shared" si="0"/>
        <v>1.4942851926236989</v>
      </c>
    </row>
    <row r="12" spans="1:8" ht="49.5" customHeight="1" x14ac:dyDescent="0.2">
      <c r="A12" s="23" t="s">
        <v>8</v>
      </c>
      <c r="B12" s="31" t="s">
        <v>411</v>
      </c>
      <c r="C12" s="410"/>
      <c r="D12" s="410"/>
      <c r="E12" s="347"/>
      <c r="F12" s="347"/>
      <c r="G12" s="311" t="str">
        <f t="shared" si="0"/>
        <v>-</v>
      </c>
    </row>
    <row r="13" spans="1:8" s="85" customFormat="1" ht="33" customHeight="1" x14ac:dyDescent="0.2">
      <c r="A13" s="74" t="s">
        <v>15</v>
      </c>
      <c r="B13" s="412" t="s">
        <v>147</v>
      </c>
      <c r="C13" s="411"/>
      <c r="D13" s="411"/>
      <c r="E13" s="348"/>
      <c r="F13" s="348"/>
      <c r="G13" s="349" t="str">
        <f t="shared" si="0"/>
        <v>-</v>
      </c>
    </row>
    <row r="14" spans="1:8" s="384" customFormat="1" ht="49.5" customHeight="1" x14ac:dyDescent="0.25">
      <c r="A14" s="37">
        <v>4</v>
      </c>
      <c r="B14" s="415" t="s">
        <v>148</v>
      </c>
      <c r="C14" s="426">
        <v>619</v>
      </c>
      <c r="D14" s="426">
        <v>972</v>
      </c>
      <c r="E14" s="310" t="s">
        <v>98</v>
      </c>
      <c r="F14" s="310" t="s">
        <v>98</v>
      </c>
      <c r="G14" s="310">
        <f t="shared" si="0"/>
        <v>1.5702746365105007</v>
      </c>
    </row>
    <row r="15" spans="1:8" s="85" customFormat="1" ht="49.5" customHeight="1" x14ac:dyDescent="0.2">
      <c r="A15" s="23" t="s">
        <v>2</v>
      </c>
      <c r="B15" s="105" t="s">
        <v>406</v>
      </c>
      <c r="C15" s="410">
        <v>515</v>
      </c>
      <c r="D15" s="410">
        <v>949</v>
      </c>
      <c r="E15" s="311" t="s">
        <v>98</v>
      </c>
      <c r="F15" s="311" t="s">
        <v>98</v>
      </c>
      <c r="G15" s="311">
        <f t="shared" si="0"/>
        <v>1.8427184466019417</v>
      </c>
    </row>
    <row r="16" spans="1:8" s="85" customFormat="1" ht="33" customHeight="1" x14ac:dyDescent="0.2">
      <c r="A16" s="74" t="s">
        <v>61</v>
      </c>
      <c r="B16" s="96" t="s">
        <v>150</v>
      </c>
      <c r="C16" s="410">
        <v>13</v>
      </c>
      <c r="D16" s="410">
        <v>469</v>
      </c>
      <c r="E16" s="311" t="s">
        <v>98</v>
      </c>
      <c r="F16" s="311" t="s">
        <v>98</v>
      </c>
      <c r="G16" s="311">
        <f t="shared" si="0"/>
        <v>36.07692307692308</v>
      </c>
    </row>
    <row r="17" spans="1:7" s="85" customFormat="1" ht="33" customHeight="1" x14ac:dyDescent="0.2">
      <c r="A17" s="74" t="s">
        <v>62</v>
      </c>
      <c r="B17" s="96" t="s">
        <v>151</v>
      </c>
      <c r="C17" s="410">
        <v>169</v>
      </c>
      <c r="D17" s="410">
        <v>155</v>
      </c>
      <c r="E17" s="311" t="s">
        <v>98</v>
      </c>
      <c r="F17" s="311" t="s">
        <v>98</v>
      </c>
      <c r="G17" s="311">
        <f t="shared" si="0"/>
        <v>0.91715976331360949</v>
      </c>
    </row>
    <row r="18" spans="1:7" s="427" customFormat="1" ht="45" customHeight="1" x14ac:dyDescent="0.2">
      <c r="A18" s="37" t="s">
        <v>17</v>
      </c>
      <c r="B18" s="92" t="s">
        <v>152</v>
      </c>
      <c r="C18" s="428">
        <v>10488</v>
      </c>
      <c r="D18" s="428">
        <v>14796</v>
      </c>
      <c r="E18" s="310" t="s">
        <v>98</v>
      </c>
      <c r="F18" s="310" t="s">
        <v>98</v>
      </c>
      <c r="G18" s="310">
        <f t="shared" si="0"/>
        <v>1.4107551487414187</v>
      </c>
    </row>
    <row r="19" spans="1:7" ht="45" customHeight="1" x14ac:dyDescent="0.2">
      <c r="A19" s="23" t="s">
        <v>18</v>
      </c>
      <c r="B19" s="31" t="s">
        <v>407</v>
      </c>
      <c r="C19" s="410">
        <v>46</v>
      </c>
      <c r="D19" s="410">
        <v>49</v>
      </c>
      <c r="E19" s="311" t="s">
        <v>98</v>
      </c>
      <c r="F19" s="311" t="s">
        <v>98</v>
      </c>
      <c r="G19" s="311">
        <f t="shared" si="0"/>
        <v>1.0652173913043479</v>
      </c>
    </row>
    <row r="24" spans="1:7" x14ac:dyDescent="0.2">
      <c r="B24" s="8"/>
    </row>
    <row r="25" spans="1:7" x14ac:dyDescent="0.2">
      <c r="B25" s="8"/>
    </row>
    <row r="26" spans="1:7" x14ac:dyDescent="0.2">
      <c r="B26" s="8"/>
    </row>
    <row r="27" spans="1:7" x14ac:dyDescent="0.2">
      <c r="B27" s="8"/>
    </row>
    <row r="28" spans="1:7" x14ac:dyDescent="0.2">
      <c r="B28" s="8"/>
    </row>
    <row r="29" spans="1:7" x14ac:dyDescent="0.2">
      <c r="B29" s="8"/>
    </row>
    <row r="30" spans="1:7" x14ac:dyDescent="0.2">
      <c r="B30" s="8"/>
    </row>
    <row r="31" spans="1:7" x14ac:dyDescent="0.2">
      <c r="B31" s="8"/>
    </row>
    <row r="32" spans="1:7" x14ac:dyDescent="0.2">
      <c r="B32" s="8"/>
    </row>
    <row r="33" spans="2:2" x14ac:dyDescent="0.2">
      <c r="B33" s="8"/>
    </row>
    <row r="34" spans="2:2" x14ac:dyDescent="0.2">
      <c r="B34" s="8"/>
    </row>
    <row r="35" spans="2:2" x14ac:dyDescent="0.2">
      <c r="B35" s="8"/>
    </row>
    <row r="36" spans="2:2" x14ac:dyDescent="0.2">
      <c r="B36" s="8"/>
    </row>
    <row r="37" spans="2:2" x14ac:dyDescent="0.2">
      <c r="B37" s="8"/>
    </row>
    <row r="38" spans="2:2" x14ac:dyDescent="0.2">
      <c r="B38" s="8"/>
    </row>
    <row r="39" spans="2:2" x14ac:dyDescent="0.2">
      <c r="B39" s="8"/>
    </row>
  </sheetData>
  <mergeCells count="1">
    <mergeCell ref="A3:G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E27"/>
  <sheetViews>
    <sheetView zoomScaleNormal="100" workbookViewId="0">
      <selection activeCell="J12" sqref="J12"/>
    </sheetView>
  </sheetViews>
  <sheetFormatPr defaultRowHeight="15" x14ac:dyDescent="0.2"/>
  <cols>
    <col min="1" max="1" width="4.42578125" style="501" bestFit="1" customWidth="1"/>
    <col min="2" max="2" width="38.85546875" style="502" customWidth="1"/>
    <col min="3" max="4" width="12.28515625" style="277" customWidth="1"/>
    <col min="5" max="5" width="29.85546875" style="277" customWidth="1"/>
    <col min="6" max="16384" width="9.140625" style="277"/>
  </cols>
  <sheetData>
    <row r="1" spans="1:5" x14ac:dyDescent="0.2">
      <c r="E1" s="51" t="s">
        <v>536</v>
      </c>
    </row>
    <row r="3" spans="1:5" ht="18" x14ac:dyDescent="0.2">
      <c r="A3" s="625" t="s">
        <v>537</v>
      </c>
      <c r="B3" s="625"/>
      <c r="C3" s="625"/>
      <c r="D3" s="625"/>
      <c r="E3" s="625"/>
    </row>
    <row r="4" spans="1:5" ht="15.75" thickBot="1" x14ac:dyDescent="0.25">
      <c r="E4" s="45" t="s">
        <v>323</v>
      </c>
    </row>
    <row r="5" spans="1:5" ht="33" customHeight="1" thickBot="1" x14ac:dyDescent="0.25">
      <c r="A5" s="282" t="s">
        <v>93</v>
      </c>
      <c r="B5" s="190" t="s">
        <v>153</v>
      </c>
      <c r="C5" s="77" t="str">
        <f>'2-жадвал'!C5</f>
        <v>2024-йил</v>
      </c>
      <c r="D5" s="77" t="str">
        <f>'2-жадвал'!D5</f>
        <v>2025-йил</v>
      </c>
      <c r="E5" s="78" t="s">
        <v>556</v>
      </c>
    </row>
    <row r="6" spans="1:5" ht="15.75" x14ac:dyDescent="0.2">
      <c r="A6" s="503"/>
      <c r="B6" s="504"/>
      <c r="C6" s="503"/>
      <c r="D6" s="503"/>
    </row>
    <row r="7" spans="1:5" ht="30" x14ac:dyDescent="0.2">
      <c r="A7" s="537" t="s">
        <v>16</v>
      </c>
      <c r="B7" s="505" t="s">
        <v>558</v>
      </c>
      <c r="C7" s="506">
        <v>21</v>
      </c>
      <c r="D7" s="506">
        <v>71</v>
      </c>
      <c r="E7" s="507" t="s">
        <v>549</v>
      </c>
    </row>
    <row r="8" spans="1:5" ht="45" x14ac:dyDescent="0.2">
      <c r="A8" s="537" t="s">
        <v>3</v>
      </c>
      <c r="B8" s="505" t="s">
        <v>557</v>
      </c>
      <c r="C8" s="506">
        <v>14</v>
      </c>
      <c r="D8" s="506">
        <v>24</v>
      </c>
      <c r="E8" s="507" t="s">
        <v>550</v>
      </c>
    </row>
    <row r="9" spans="1:5" ht="30" x14ac:dyDescent="0.2">
      <c r="A9" s="537" t="s">
        <v>6</v>
      </c>
      <c r="B9" s="505" t="s">
        <v>559</v>
      </c>
      <c r="C9" s="506">
        <v>32</v>
      </c>
      <c r="D9" s="506">
        <v>128</v>
      </c>
      <c r="E9" s="507" t="s">
        <v>551</v>
      </c>
    </row>
    <row r="10" spans="1:5" ht="30" x14ac:dyDescent="0.2">
      <c r="A10" s="537" t="s">
        <v>8</v>
      </c>
      <c r="B10" s="505" t="s">
        <v>538</v>
      </c>
      <c r="C10" s="508" t="s">
        <v>31</v>
      </c>
      <c r="D10" s="506">
        <v>31</v>
      </c>
      <c r="E10" s="507" t="s">
        <v>552</v>
      </c>
    </row>
    <row r="11" spans="1:5" ht="15.75" x14ac:dyDescent="0.2">
      <c r="A11" s="537" t="s">
        <v>14</v>
      </c>
      <c r="B11" s="505" t="s">
        <v>539</v>
      </c>
      <c r="C11" s="508" t="s">
        <v>31</v>
      </c>
      <c r="D11" s="506">
        <v>45</v>
      </c>
      <c r="E11" s="507" t="s">
        <v>526</v>
      </c>
    </row>
    <row r="12" spans="1:5" ht="15.75" x14ac:dyDescent="0.2">
      <c r="A12" s="537" t="s">
        <v>2</v>
      </c>
      <c r="B12" s="505" t="s">
        <v>540</v>
      </c>
      <c r="C12" s="506">
        <v>81</v>
      </c>
      <c r="D12" s="506">
        <v>77</v>
      </c>
      <c r="E12" s="507" t="s">
        <v>553</v>
      </c>
    </row>
    <row r="13" spans="1:5" ht="30" x14ac:dyDescent="0.2">
      <c r="A13" s="538" t="s">
        <v>61</v>
      </c>
      <c r="B13" s="509" t="s">
        <v>541</v>
      </c>
      <c r="C13" s="510">
        <v>51</v>
      </c>
      <c r="D13" s="510">
        <v>37</v>
      </c>
      <c r="E13" s="507" t="s">
        <v>554</v>
      </c>
    </row>
    <row r="14" spans="1:5" ht="30" x14ac:dyDescent="0.2">
      <c r="A14" s="538" t="s">
        <v>62</v>
      </c>
      <c r="B14" s="509" t="s">
        <v>542</v>
      </c>
      <c r="C14" s="510">
        <v>30</v>
      </c>
      <c r="D14" s="510">
        <v>40</v>
      </c>
      <c r="E14" s="507" t="s">
        <v>555</v>
      </c>
    </row>
    <row r="15" spans="1:5" ht="30" x14ac:dyDescent="0.2">
      <c r="A15" s="537" t="s">
        <v>17</v>
      </c>
      <c r="B15" s="505" t="s">
        <v>543</v>
      </c>
      <c r="C15" s="506">
        <v>40</v>
      </c>
      <c r="D15" s="506">
        <v>30</v>
      </c>
      <c r="E15" s="507"/>
    </row>
    <row r="16" spans="1:5" ht="30" x14ac:dyDescent="0.2">
      <c r="A16" s="537" t="s">
        <v>18</v>
      </c>
      <c r="B16" s="505" t="s">
        <v>544</v>
      </c>
      <c r="C16" s="506">
        <v>140</v>
      </c>
      <c r="D16" s="506" t="s">
        <v>527</v>
      </c>
      <c r="E16" s="507"/>
    </row>
    <row r="17" spans="1:5" ht="45" x14ac:dyDescent="0.2">
      <c r="A17" s="537" t="s">
        <v>84</v>
      </c>
      <c r="B17" s="505" t="s">
        <v>545</v>
      </c>
      <c r="C17" s="508" t="s">
        <v>31</v>
      </c>
      <c r="D17" s="506">
        <v>3</v>
      </c>
      <c r="E17" s="507"/>
    </row>
    <row r="18" spans="1:5" ht="45" x14ac:dyDescent="0.2">
      <c r="A18" s="537" t="s">
        <v>528</v>
      </c>
      <c r="B18" s="505" t="s">
        <v>546</v>
      </c>
      <c r="C18" s="506">
        <v>3</v>
      </c>
      <c r="D18" s="506">
        <v>9</v>
      </c>
      <c r="E18" s="507"/>
    </row>
    <row r="19" spans="1:5" ht="45" x14ac:dyDescent="0.2">
      <c r="A19" s="537" t="s">
        <v>529</v>
      </c>
      <c r="B19" s="505" t="s">
        <v>547</v>
      </c>
      <c r="C19" s="508" t="s">
        <v>31</v>
      </c>
      <c r="D19" s="506">
        <v>23</v>
      </c>
      <c r="E19" s="507"/>
    </row>
    <row r="20" spans="1:5" ht="45" x14ac:dyDescent="0.2">
      <c r="A20" s="537" t="s">
        <v>19</v>
      </c>
      <c r="B20" s="505" t="s">
        <v>548</v>
      </c>
      <c r="C20" s="508" t="s">
        <v>31</v>
      </c>
      <c r="D20" s="506">
        <v>23</v>
      </c>
      <c r="E20" s="507"/>
    </row>
    <row r="21" spans="1:5" x14ac:dyDescent="0.2">
      <c r="A21" s="511"/>
      <c r="D21" s="512"/>
      <c r="E21" s="502"/>
    </row>
    <row r="22" spans="1:5" x14ac:dyDescent="0.2">
      <c r="A22" s="511"/>
      <c r="C22" s="512"/>
      <c r="D22" s="512"/>
      <c r="E22" s="502"/>
    </row>
    <row r="23" spans="1:5" x14ac:dyDescent="0.2">
      <c r="A23" s="511"/>
      <c r="E23" s="502"/>
    </row>
    <row r="24" spans="1:5" x14ac:dyDescent="0.2">
      <c r="A24" s="511"/>
      <c r="E24" s="502"/>
    </row>
    <row r="25" spans="1:5" x14ac:dyDescent="0.2">
      <c r="A25" s="511"/>
      <c r="E25" s="502"/>
    </row>
    <row r="26" spans="1:5" x14ac:dyDescent="0.2">
      <c r="A26" s="511"/>
      <c r="E26" s="502"/>
    </row>
    <row r="27" spans="1:5" x14ac:dyDescent="0.2">
      <c r="A27" s="511"/>
    </row>
  </sheetData>
  <mergeCells count="1">
    <mergeCell ref="A3:E3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95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E23"/>
  <sheetViews>
    <sheetView showGridLines="0" zoomScale="55" zoomScaleNormal="55" zoomScaleSheetLayoutView="70" workbookViewId="0">
      <selection activeCell="C13" sqref="C13"/>
    </sheetView>
  </sheetViews>
  <sheetFormatPr defaultRowHeight="14.25" x14ac:dyDescent="0.2"/>
  <cols>
    <col min="1" max="1" width="2.7109375" style="350" customWidth="1"/>
    <col min="2" max="2" width="6.7109375" style="350" customWidth="1"/>
    <col min="3" max="3" width="44.5703125" style="350" customWidth="1"/>
    <col min="4" max="27" width="20.5703125" style="350" customWidth="1"/>
    <col min="28" max="16384" width="9.140625" style="350"/>
  </cols>
  <sheetData>
    <row r="2" spans="2:31" ht="118.5" customHeight="1" x14ac:dyDescent="0.2">
      <c r="B2" s="628" t="s">
        <v>412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29"/>
      <c r="Q2" s="629"/>
      <c r="R2" s="629"/>
      <c r="S2" s="629"/>
      <c r="T2" s="629"/>
      <c r="U2" s="629"/>
      <c r="V2" s="629"/>
      <c r="W2" s="629"/>
      <c r="X2" s="629"/>
      <c r="Y2" s="629"/>
      <c r="Z2" s="629"/>
      <c r="AA2" s="629"/>
    </row>
    <row r="3" spans="2:31" ht="26.25" x14ac:dyDescent="0.2">
      <c r="W3" s="351"/>
      <c r="X3" s="352"/>
    </row>
    <row r="4" spans="2:31" ht="54.75" customHeight="1" x14ac:dyDescent="0.2">
      <c r="B4" s="630" t="s">
        <v>282</v>
      </c>
      <c r="C4" s="631"/>
      <c r="D4" s="634" t="s">
        <v>148</v>
      </c>
      <c r="E4" s="635"/>
      <c r="F4" s="627"/>
      <c r="G4" s="634" t="s">
        <v>383</v>
      </c>
      <c r="H4" s="635"/>
      <c r="I4" s="627"/>
      <c r="J4" s="634" t="s">
        <v>384</v>
      </c>
      <c r="K4" s="635"/>
      <c r="L4" s="627"/>
      <c r="M4" s="634" t="s">
        <v>385</v>
      </c>
      <c r="N4" s="635"/>
      <c r="O4" s="627"/>
      <c r="P4" s="634" t="s">
        <v>386</v>
      </c>
      <c r="Q4" s="635"/>
      <c r="R4" s="627"/>
      <c r="S4" s="634" t="s">
        <v>387</v>
      </c>
      <c r="T4" s="635"/>
      <c r="U4" s="627"/>
      <c r="V4" s="634" t="s">
        <v>388</v>
      </c>
      <c r="W4" s="635"/>
      <c r="X4" s="627"/>
      <c r="Y4" s="634" t="s">
        <v>88</v>
      </c>
      <c r="Z4" s="635"/>
      <c r="AA4" s="627"/>
    </row>
    <row r="5" spans="2:31" ht="76.5" customHeight="1" x14ac:dyDescent="0.2">
      <c r="B5" s="632"/>
      <c r="C5" s="633"/>
      <c r="D5" s="353" t="s">
        <v>381</v>
      </c>
      <c r="E5" s="353" t="s">
        <v>380</v>
      </c>
      <c r="F5" s="353" t="s">
        <v>382</v>
      </c>
      <c r="G5" s="353" t="s">
        <v>381</v>
      </c>
      <c r="H5" s="353" t="s">
        <v>380</v>
      </c>
      <c r="I5" s="353" t="s">
        <v>382</v>
      </c>
      <c r="J5" s="353" t="s">
        <v>381</v>
      </c>
      <c r="K5" s="353" t="s">
        <v>380</v>
      </c>
      <c r="L5" s="353" t="s">
        <v>382</v>
      </c>
      <c r="M5" s="353" t="s">
        <v>381</v>
      </c>
      <c r="N5" s="353" t="s">
        <v>380</v>
      </c>
      <c r="O5" s="353" t="s">
        <v>382</v>
      </c>
      <c r="P5" s="353" t="s">
        <v>381</v>
      </c>
      <c r="Q5" s="353" t="s">
        <v>380</v>
      </c>
      <c r="R5" s="353" t="s">
        <v>382</v>
      </c>
      <c r="S5" s="353" t="s">
        <v>381</v>
      </c>
      <c r="T5" s="353" t="s">
        <v>380</v>
      </c>
      <c r="U5" s="353" t="s">
        <v>382</v>
      </c>
      <c r="V5" s="353" t="s">
        <v>381</v>
      </c>
      <c r="W5" s="353" t="s">
        <v>380</v>
      </c>
      <c r="X5" s="353" t="s">
        <v>382</v>
      </c>
      <c r="Y5" s="353" t="s">
        <v>381</v>
      </c>
      <c r="Z5" s="353" t="s">
        <v>380</v>
      </c>
      <c r="AA5" s="353" t="s">
        <v>382</v>
      </c>
    </row>
    <row r="6" spans="2:31" s="358" customFormat="1" ht="57.75" customHeight="1" x14ac:dyDescent="0.3">
      <c r="B6" s="626" t="s">
        <v>356</v>
      </c>
      <c r="C6" s="627"/>
      <c r="D6" s="354">
        <f>+SUM(D7:D21)-D20</f>
        <v>3435</v>
      </c>
      <c r="E6" s="354">
        <f>+SUM(E7:E21)-E20</f>
        <v>4200</v>
      </c>
      <c r="F6" s="355">
        <f>IFERROR(E6/D6, "-")</f>
        <v>1.222707423580786</v>
      </c>
      <c r="G6" s="356">
        <f>+SUM(G7:G21)-G20</f>
        <v>972</v>
      </c>
      <c r="H6" s="356">
        <f>+SUM(H7:H21)-H20</f>
        <v>1200</v>
      </c>
      <c r="I6" s="355">
        <f>IFERROR(H6/G6, "-")</f>
        <v>1.2345679012345678</v>
      </c>
      <c r="J6" s="356">
        <f>+SUM(J7:J21)-J20</f>
        <v>495</v>
      </c>
      <c r="K6" s="356">
        <f>+SUM(K7:K21)-K20</f>
        <v>750</v>
      </c>
      <c r="L6" s="355">
        <f>IFERROR(K6/J6, "-")</f>
        <v>1.5151515151515151</v>
      </c>
      <c r="M6" s="356">
        <f>+SUM(M7:M21)-M20</f>
        <v>103</v>
      </c>
      <c r="N6" s="356">
        <f>+SUM(N7:N21)-N20</f>
        <v>140</v>
      </c>
      <c r="O6" s="355">
        <f>IFERROR(N6/M6, "-")</f>
        <v>1.3592233009708738</v>
      </c>
      <c r="P6" s="356">
        <f>+SUM(P7:P21)-P20</f>
        <v>900</v>
      </c>
      <c r="Q6" s="356">
        <f>+SUM(Q7:Q21)-Q20</f>
        <v>1250</v>
      </c>
      <c r="R6" s="355">
        <f>IFERROR(Q6/P6, "-")</f>
        <v>1.3888888888888888</v>
      </c>
      <c r="S6" s="356">
        <f>+SUM(S7:S21)-S20</f>
        <v>716429.57652600005</v>
      </c>
      <c r="T6" s="356">
        <f>+SUM(T7:T21)-T20</f>
        <v>1020000</v>
      </c>
      <c r="U6" s="355">
        <f>IFERROR(T6/S6, "-")</f>
        <v>1.4237268161736523</v>
      </c>
      <c r="V6" s="356">
        <f>+SUM(V7:V21)-V20</f>
        <v>33405.326555829</v>
      </c>
      <c r="W6" s="356">
        <f>+SUM(W7:W21)-W20</f>
        <v>33500</v>
      </c>
      <c r="X6" s="355">
        <f>IFERROR(W6/V6, "-")</f>
        <v>1.0028340822836375</v>
      </c>
      <c r="Y6" s="354">
        <f>+SUM(Y7:Y21)-Y20</f>
        <v>53026</v>
      </c>
      <c r="Z6" s="357">
        <f>+SUM(Z7:Z21)-Z20</f>
        <v>70000</v>
      </c>
      <c r="AA6" s="355">
        <f>IFERROR(Z6/Y6, "-")</f>
        <v>1.3201071172632293</v>
      </c>
      <c r="AE6" s="19"/>
    </row>
    <row r="7" spans="2:31" ht="53.25" customHeight="1" x14ac:dyDescent="0.2">
      <c r="B7" s="359">
        <v>1</v>
      </c>
      <c r="C7" s="360" t="s">
        <v>357</v>
      </c>
      <c r="D7" s="361">
        <v>105</v>
      </c>
      <c r="E7" s="362">
        <v>150</v>
      </c>
      <c r="F7" s="363">
        <f t="shared" ref="F7:F21" si="0">IFERROR(E7/D7, "-")</f>
        <v>1.4285714285714286</v>
      </c>
      <c r="G7" s="361">
        <v>6</v>
      </c>
      <c r="H7" s="362">
        <v>10</v>
      </c>
      <c r="I7" s="363">
        <f t="shared" ref="I7:I21" si="1">IFERROR(H7/G7, "-")</f>
        <v>1.6666666666666667</v>
      </c>
      <c r="J7" s="361">
        <v>43</v>
      </c>
      <c r="K7" s="362">
        <v>50</v>
      </c>
      <c r="L7" s="363">
        <f t="shared" ref="L7:L21" si="2">IFERROR(K7/J7, "-")</f>
        <v>1.1627906976744187</v>
      </c>
      <c r="M7" s="361">
        <v>2</v>
      </c>
      <c r="N7" s="362">
        <v>4</v>
      </c>
      <c r="O7" s="363">
        <f t="shared" ref="O7:O21" si="3">IFERROR(N7/M7, "-")</f>
        <v>2</v>
      </c>
      <c r="P7" s="361">
        <v>33</v>
      </c>
      <c r="Q7" s="364">
        <v>45</v>
      </c>
      <c r="R7" s="363">
        <f t="shared" ref="R7:R21" si="4">IFERROR(Q7/P7, "-")</f>
        <v>1.3636363636363635</v>
      </c>
      <c r="S7" s="365">
        <v>7067.0406800000001</v>
      </c>
      <c r="T7" s="365">
        <v>10000</v>
      </c>
      <c r="U7" s="363">
        <f t="shared" ref="U7:U21" si="5">IFERROR(T7/S7, "-")</f>
        <v>1.4150194477159852</v>
      </c>
      <c r="V7" s="366">
        <v>174.82592897700002</v>
      </c>
      <c r="W7" s="366">
        <v>280</v>
      </c>
      <c r="X7" s="363">
        <f t="shared" ref="X7:X21" si="6">IFERROR(W7/V7, "-")</f>
        <v>1.6015930911303013</v>
      </c>
      <c r="Y7" s="367">
        <v>1574</v>
      </c>
      <c r="Z7" s="367">
        <v>2500</v>
      </c>
      <c r="AA7" s="363">
        <f t="shared" ref="AA7:AA21" si="7">IFERROR(Z7/Y7, "-")</f>
        <v>1.5883100381194408</v>
      </c>
    </row>
    <row r="8" spans="2:31" ht="35.25" customHeight="1" x14ac:dyDescent="0.2">
      <c r="B8" s="359">
        <v>2</v>
      </c>
      <c r="C8" s="360" t="s">
        <v>358</v>
      </c>
      <c r="D8" s="361">
        <v>96</v>
      </c>
      <c r="E8" s="362">
        <v>135</v>
      </c>
      <c r="F8" s="363">
        <f t="shared" si="0"/>
        <v>1.40625</v>
      </c>
      <c r="G8" s="361">
        <v>12</v>
      </c>
      <c r="H8" s="362">
        <v>18</v>
      </c>
      <c r="I8" s="363">
        <f t="shared" si="1"/>
        <v>1.5</v>
      </c>
      <c r="J8" s="361">
        <v>24</v>
      </c>
      <c r="K8" s="362">
        <v>30</v>
      </c>
      <c r="L8" s="363">
        <f t="shared" si="2"/>
        <v>1.25</v>
      </c>
      <c r="M8" s="361">
        <v>3</v>
      </c>
      <c r="N8" s="362">
        <v>5</v>
      </c>
      <c r="O8" s="363">
        <f t="shared" si="3"/>
        <v>1.6666666666666667</v>
      </c>
      <c r="P8" s="361">
        <v>28</v>
      </c>
      <c r="Q8" s="364">
        <v>40</v>
      </c>
      <c r="R8" s="363">
        <f t="shared" si="4"/>
        <v>1.4285714285714286</v>
      </c>
      <c r="S8" s="365">
        <v>25960.453620000004</v>
      </c>
      <c r="T8" s="365">
        <v>37000</v>
      </c>
      <c r="U8" s="363">
        <f t="shared" si="5"/>
        <v>1.4252447411587255</v>
      </c>
      <c r="V8" s="366">
        <v>445.88910758199995</v>
      </c>
      <c r="W8" s="366">
        <v>660</v>
      </c>
      <c r="X8" s="363">
        <f t="shared" si="6"/>
        <v>1.4801886585189223</v>
      </c>
      <c r="Y8" s="367">
        <v>1415</v>
      </c>
      <c r="Z8" s="367">
        <v>2200</v>
      </c>
      <c r="AA8" s="363">
        <f t="shared" si="7"/>
        <v>1.5547703180212014</v>
      </c>
    </row>
    <row r="9" spans="2:31" ht="35.25" customHeight="1" x14ac:dyDescent="0.2">
      <c r="B9" s="359">
        <v>3</v>
      </c>
      <c r="C9" s="360" t="s">
        <v>359</v>
      </c>
      <c r="D9" s="361">
        <v>67</v>
      </c>
      <c r="E9" s="362">
        <v>95</v>
      </c>
      <c r="F9" s="363">
        <f t="shared" si="0"/>
        <v>1.4179104477611941</v>
      </c>
      <c r="G9" s="361">
        <v>2</v>
      </c>
      <c r="H9" s="362">
        <v>6</v>
      </c>
      <c r="I9" s="363">
        <f t="shared" si="1"/>
        <v>3</v>
      </c>
      <c r="J9" s="361">
        <v>15</v>
      </c>
      <c r="K9" s="362">
        <v>25</v>
      </c>
      <c r="L9" s="363">
        <f t="shared" si="2"/>
        <v>1.6666666666666667</v>
      </c>
      <c r="M9" s="361">
        <v>1</v>
      </c>
      <c r="N9" s="362">
        <v>4</v>
      </c>
      <c r="O9" s="363">
        <f t="shared" si="3"/>
        <v>4</v>
      </c>
      <c r="P9" s="361">
        <v>12</v>
      </c>
      <c r="Q9" s="364">
        <v>20</v>
      </c>
      <c r="R9" s="363">
        <f t="shared" si="4"/>
        <v>1.6666666666666667</v>
      </c>
      <c r="S9" s="365">
        <v>7698.5636080000004</v>
      </c>
      <c r="T9" s="365">
        <v>10000</v>
      </c>
      <c r="U9" s="363">
        <f t="shared" si="5"/>
        <v>1.2989436093777871</v>
      </c>
      <c r="V9" s="366">
        <v>134.03739742800002</v>
      </c>
      <c r="W9" s="366">
        <v>260</v>
      </c>
      <c r="X9" s="363">
        <f t="shared" si="6"/>
        <v>1.9397571497884571</v>
      </c>
      <c r="Y9" s="367">
        <v>636</v>
      </c>
      <c r="Z9" s="367">
        <v>1200</v>
      </c>
      <c r="AA9" s="363">
        <f t="shared" si="7"/>
        <v>1.8867924528301887</v>
      </c>
    </row>
    <row r="10" spans="2:31" ht="35.25" customHeight="1" x14ac:dyDescent="0.2">
      <c r="B10" s="359">
        <v>4</v>
      </c>
      <c r="C10" s="360" t="s">
        <v>89</v>
      </c>
      <c r="D10" s="361">
        <v>65</v>
      </c>
      <c r="E10" s="362">
        <v>85</v>
      </c>
      <c r="F10" s="363">
        <f t="shared" si="0"/>
        <v>1.3076923076923077</v>
      </c>
      <c r="G10" s="361">
        <v>21</v>
      </c>
      <c r="H10" s="362">
        <v>25</v>
      </c>
      <c r="I10" s="363">
        <f t="shared" si="1"/>
        <v>1.1904761904761905</v>
      </c>
      <c r="J10" s="361">
        <v>22</v>
      </c>
      <c r="K10" s="362">
        <v>30</v>
      </c>
      <c r="L10" s="363">
        <f t="shared" si="2"/>
        <v>1.3636363636363635</v>
      </c>
      <c r="M10" s="361">
        <v>2</v>
      </c>
      <c r="N10" s="362">
        <v>5</v>
      </c>
      <c r="O10" s="363">
        <f t="shared" si="3"/>
        <v>2.5</v>
      </c>
      <c r="P10" s="361">
        <v>16</v>
      </c>
      <c r="Q10" s="364">
        <v>25</v>
      </c>
      <c r="R10" s="363">
        <f t="shared" si="4"/>
        <v>1.5625</v>
      </c>
      <c r="S10" s="365">
        <v>9550.391216</v>
      </c>
      <c r="T10" s="365">
        <v>15000</v>
      </c>
      <c r="U10" s="363">
        <f t="shared" si="5"/>
        <v>1.5706162879349004</v>
      </c>
      <c r="V10" s="366">
        <v>148.94693218999998</v>
      </c>
      <c r="W10" s="366">
        <v>285</v>
      </c>
      <c r="X10" s="363">
        <f t="shared" si="6"/>
        <v>1.9134331658234338</v>
      </c>
      <c r="Y10" s="367">
        <v>382</v>
      </c>
      <c r="Z10" s="367">
        <v>1000</v>
      </c>
      <c r="AA10" s="363">
        <f t="shared" si="7"/>
        <v>2.6178010471204187</v>
      </c>
    </row>
    <row r="11" spans="2:31" ht="35.25" customHeight="1" x14ac:dyDescent="0.2">
      <c r="B11" s="359">
        <v>5</v>
      </c>
      <c r="C11" s="360" t="s">
        <v>360</v>
      </c>
      <c r="D11" s="361">
        <v>67</v>
      </c>
      <c r="E11" s="362">
        <v>85</v>
      </c>
      <c r="F11" s="363">
        <f t="shared" si="0"/>
        <v>1.2686567164179106</v>
      </c>
      <c r="G11" s="361">
        <v>2</v>
      </c>
      <c r="H11" s="362">
        <v>5</v>
      </c>
      <c r="I11" s="363">
        <f t="shared" si="1"/>
        <v>2.5</v>
      </c>
      <c r="J11" s="361">
        <v>30</v>
      </c>
      <c r="K11" s="362">
        <v>40</v>
      </c>
      <c r="L11" s="363">
        <f t="shared" si="2"/>
        <v>1.3333333333333333</v>
      </c>
      <c r="M11" s="361">
        <v>0</v>
      </c>
      <c r="N11" s="362">
        <v>2</v>
      </c>
      <c r="O11" s="363" t="str">
        <f t="shared" si="3"/>
        <v>-</v>
      </c>
      <c r="P11" s="361">
        <v>13</v>
      </c>
      <c r="Q11" s="364">
        <v>20</v>
      </c>
      <c r="R11" s="363">
        <f t="shared" si="4"/>
        <v>1.5384615384615385</v>
      </c>
      <c r="S11" s="365">
        <v>2473.8601899999999</v>
      </c>
      <c r="T11" s="365">
        <v>4000</v>
      </c>
      <c r="U11" s="363">
        <f t="shared" si="5"/>
        <v>1.6169062488531336</v>
      </c>
      <c r="V11" s="366">
        <v>78.671512089999993</v>
      </c>
      <c r="W11" s="366">
        <v>175</v>
      </c>
      <c r="X11" s="363">
        <f t="shared" si="6"/>
        <v>2.2244392582641668</v>
      </c>
      <c r="Y11" s="367">
        <v>666</v>
      </c>
      <c r="Z11" s="367">
        <v>1400</v>
      </c>
      <c r="AA11" s="363">
        <f t="shared" si="7"/>
        <v>2.1021021021021022</v>
      </c>
    </row>
    <row r="12" spans="2:31" ht="35.25" customHeight="1" x14ac:dyDescent="0.2">
      <c r="B12" s="359">
        <v>6</v>
      </c>
      <c r="C12" s="360" t="s">
        <v>361</v>
      </c>
      <c r="D12" s="361">
        <v>53</v>
      </c>
      <c r="E12" s="362">
        <v>75</v>
      </c>
      <c r="F12" s="363">
        <f t="shared" si="0"/>
        <v>1.4150943396226414</v>
      </c>
      <c r="G12" s="361">
        <v>11</v>
      </c>
      <c r="H12" s="362">
        <v>16</v>
      </c>
      <c r="I12" s="363">
        <f t="shared" si="1"/>
        <v>1.4545454545454546</v>
      </c>
      <c r="J12" s="361">
        <v>18</v>
      </c>
      <c r="K12" s="362">
        <v>25</v>
      </c>
      <c r="L12" s="363">
        <f t="shared" si="2"/>
        <v>1.3888888888888888</v>
      </c>
      <c r="M12" s="361">
        <v>1</v>
      </c>
      <c r="N12" s="362">
        <v>3</v>
      </c>
      <c r="O12" s="363">
        <f t="shared" si="3"/>
        <v>3</v>
      </c>
      <c r="P12" s="361">
        <v>11</v>
      </c>
      <c r="Q12" s="364">
        <v>20</v>
      </c>
      <c r="R12" s="363">
        <f t="shared" si="4"/>
        <v>1.8181818181818181</v>
      </c>
      <c r="S12" s="365">
        <v>3824.0542070000001</v>
      </c>
      <c r="T12" s="365">
        <v>7000</v>
      </c>
      <c r="U12" s="363">
        <f t="shared" si="5"/>
        <v>1.8305179846003161</v>
      </c>
      <c r="V12" s="366">
        <v>88.269268493000013</v>
      </c>
      <c r="W12" s="366">
        <v>190</v>
      </c>
      <c r="X12" s="363">
        <f t="shared" si="6"/>
        <v>2.1525045267036229</v>
      </c>
      <c r="Y12" s="367">
        <v>423</v>
      </c>
      <c r="Z12" s="367">
        <v>1000</v>
      </c>
      <c r="AA12" s="363">
        <f t="shared" si="7"/>
        <v>2.3640661938534278</v>
      </c>
    </row>
    <row r="13" spans="2:31" ht="35.25" customHeight="1" x14ac:dyDescent="0.2">
      <c r="B13" s="359">
        <v>7</v>
      </c>
      <c r="C13" s="360" t="s">
        <v>362</v>
      </c>
      <c r="D13" s="361">
        <v>77</v>
      </c>
      <c r="E13" s="362">
        <v>105</v>
      </c>
      <c r="F13" s="363">
        <f t="shared" si="0"/>
        <v>1.3636363636363635</v>
      </c>
      <c r="G13" s="361">
        <v>9</v>
      </c>
      <c r="H13" s="362">
        <v>14</v>
      </c>
      <c r="I13" s="363">
        <f t="shared" si="1"/>
        <v>1.5555555555555556</v>
      </c>
      <c r="J13" s="361">
        <v>32</v>
      </c>
      <c r="K13" s="362">
        <v>40</v>
      </c>
      <c r="L13" s="363">
        <f t="shared" si="2"/>
        <v>1.25</v>
      </c>
      <c r="M13" s="361">
        <v>2</v>
      </c>
      <c r="N13" s="362">
        <v>4</v>
      </c>
      <c r="O13" s="363">
        <f t="shared" si="3"/>
        <v>2</v>
      </c>
      <c r="P13" s="361">
        <v>13</v>
      </c>
      <c r="Q13" s="364">
        <v>20</v>
      </c>
      <c r="R13" s="363">
        <f t="shared" si="4"/>
        <v>1.5384615384615385</v>
      </c>
      <c r="S13" s="365">
        <v>2190.8043400000001</v>
      </c>
      <c r="T13" s="365">
        <v>4000</v>
      </c>
      <c r="U13" s="363">
        <f t="shared" si="5"/>
        <v>1.8258134361738574</v>
      </c>
      <c r="V13" s="366">
        <v>63.815586041000003</v>
      </c>
      <c r="W13" s="366">
        <v>145</v>
      </c>
      <c r="X13" s="363">
        <f t="shared" si="6"/>
        <v>2.2721721917094193</v>
      </c>
      <c r="Y13" s="367">
        <v>481</v>
      </c>
      <c r="Z13" s="367">
        <v>1000</v>
      </c>
      <c r="AA13" s="363">
        <f t="shared" si="7"/>
        <v>2.0790020790020791</v>
      </c>
    </row>
    <row r="14" spans="2:31" ht="35.25" customHeight="1" x14ac:dyDescent="0.2">
      <c r="B14" s="359">
        <v>8</v>
      </c>
      <c r="C14" s="360" t="s">
        <v>363</v>
      </c>
      <c r="D14" s="361">
        <v>192</v>
      </c>
      <c r="E14" s="362">
        <v>250</v>
      </c>
      <c r="F14" s="363">
        <f t="shared" si="0"/>
        <v>1.3020833333333333</v>
      </c>
      <c r="G14" s="361">
        <v>30</v>
      </c>
      <c r="H14" s="362">
        <v>40</v>
      </c>
      <c r="I14" s="363">
        <f t="shared" si="1"/>
        <v>1.3333333333333333</v>
      </c>
      <c r="J14" s="361">
        <v>48</v>
      </c>
      <c r="K14" s="362">
        <v>60</v>
      </c>
      <c r="L14" s="363">
        <f t="shared" si="2"/>
        <v>1.25</v>
      </c>
      <c r="M14" s="361">
        <v>4</v>
      </c>
      <c r="N14" s="362">
        <v>6</v>
      </c>
      <c r="O14" s="363">
        <f t="shared" si="3"/>
        <v>1.5</v>
      </c>
      <c r="P14" s="361">
        <v>43</v>
      </c>
      <c r="Q14" s="364">
        <v>60</v>
      </c>
      <c r="R14" s="363">
        <f t="shared" si="4"/>
        <v>1.3953488372093024</v>
      </c>
      <c r="S14" s="365">
        <v>19852.510683</v>
      </c>
      <c r="T14" s="365">
        <v>27000</v>
      </c>
      <c r="U14" s="363">
        <f t="shared" si="5"/>
        <v>1.3600294910366426</v>
      </c>
      <c r="V14" s="366">
        <v>404.15659644799996</v>
      </c>
      <c r="W14" s="366">
        <v>720</v>
      </c>
      <c r="X14" s="363">
        <f t="shared" si="6"/>
        <v>1.7814876865250855</v>
      </c>
      <c r="Y14" s="367">
        <v>2170</v>
      </c>
      <c r="Z14" s="368">
        <v>3000</v>
      </c>
      <c r="AA14" s="363">
        <f t="shared" si="7"/>
        <v>1.3824884792626728</v>
      </c>
    </row>
    <row r="15" spans="2:31" ht="35.25" customHeight="1" x14ac:dyDescent="0.2">
      <c r="B15" s="359">
        <v>9</v>
      </c>
      <c r="C15" s="360" t="s">
        <v>364</v>
      </c>
      <c r="D15" s="361">
        <v>76</v>
      </c>
      <c r="E15" s="362">
        <v>100</v>
      </c>
      <c r="F15" s="363">
        <f t="shared" si="0"/>
        <v>1.3157894736842106</v>
      </c>
      <c r="G15" s="361">
        <v>14</v>
      </c>
      <c r="H15" s="362">
        <v>20</v>
      </c>
      <c r="I15" s="363">
        <f t="shared" si="1"/>
        <v>1.4285714285714286</v>
      </c>
      <c r="J15" s="361">
        <v>33</v>
      </c>
      <c r="K15" s="362">
        <v>40</v>
      </c>
      <c r="L15" s="363">
        <f t="shared" si="2"/>
        <v>1.2121212121212122</v>
      </c>
      <c r="M15" s="361">
        <v>1</v>
      </c>
      <c r="N15" s="362">
        <v>3</v>
      </c>
      <c r="O15" s="363">
        <f t="shared" si="3"/>
        <v>3</v>
      </c>
      <c r="P15" s="361">
        <v>10</v>
      </c>
      <c r="Q15" s="364">
        <v>20</v>
      </c>
      <c r="R15" s="363">
        <f t="shared" si="4"/>
        <v>2</v>
      </c>
      <c r="S15" s="365">
        <v>3334.1204429999998</v>
      </c>
      <c r="T15" s="365">
        <v>5000</v>
      </c>
      <c r="U15" s="363">
        <f t="shared" si="5"/>
        <v>1.4996458842683746</v>
      </c>
      <c r="V15" s="366">
        <v>136.525746457</v>
      </c>
      <c r="W15" s="366">
        <v>250</v>
      </c>
      <c r="X15" s="363">
        <f t="shared" si="6"/>
        <v>1.8311564410947185</v>
      </c>
      <c r="Y15" s="367">
        <v>587</v>
      </c>
      <c r="Z15" s="367">
        <v>1100</v>
      </c>
      <c r="AA15" s="363">
        <f t="shared" si="7"/>
        <v>1.8739352640545144</v>
      </c>
    </row>
    <row r="16" spans="2:31" ht="35.25" customHeight="1" x14ac:dyDescent="0.2">
      <c r="B16" s="359">
        <v>10</v>
      </c>
      <c r="C16" s="360" t="s">
        <v>90</v>
      </c>
      <c r="D16" s="361">
        <v>66</v>
      </c>
      <c r="E16" s="362">
        <v>95</v>
      </c>
      <c r="F16" s="363">
        <f t="shared" si="0"/>
        <v>1.4393939393939394</v>
      </c>
      <c r="G16" s="361">
        <v>33</v>
      </c>
      <c r="H16" s="362">
        <v>40</v>
      </c>
      <c r="I16" s="363">
        <f t="shared" si="1"/>
        <v>1.2121212121212122</v>
      </c>
      <c r="J16" s="361">
        <v>15</v>
      </c>
      <c r="K16" s="362">
        <v>25</v>
      </c>
      <c r="L16" s="363">
        <f t="shared" si="2"/>
        <v>1.6666666666666667</v>
      </c>
      <c r="M16" s="361">
        <v>0</v>
      </c>
      <c r="N16" s="362">
        <v>2</v>
      </c>
      <c r="O16" s="363" t="str">
        <f t="shared" si="3"/>
        <v>-</v>
      </c>
      <c r="P16" s="361">
        <v>16</v>
      </c>
      <c r="Q16" s="364">
        <v>30</v>
      </c>
      <c r="R16" s="363">
        <f t="shared" si="4"/>
        <v>1.875</v>
      </c>
      <c r="S16" s="365">
        <v>2268.2576020000001</v>
      </c>
      <c r="T16" s="365">
        <v>4000</v>
      </c>
      <c r="U16" s="363">
        <f t="shared" si="5"/>
        <v>1.7634681336339679</v>
      </c>
      <c r="V16" s="366">
        <v>52.543517113999997</v>
      </c>
      <c r="W16" s="366">
        <v>135</v>
      </c>
      <c r="X16" s="363">
        <f t="shared" si="6"/>
        <v>2.569298886237477</v>
      </c>
      <c r="Y16" s="367">
        <v>480</v>
      </c>
      <c r="Z16" s="367">
        <v>1000</v>
      </c>
      <c r="AA16" s="363">
        <f t="shared" si="7"/>
        <v>2.0833333333333335</v>
      </c>
    </row>
    <row r="17" spans="2:27" ht="35.25" customHeight="1" x14ac:dyDescent="0.2">
      <c r="B17" s="359">
        <v>11</v>
      </c>
      <c r="C17" s="360" t="s">
        <v>365</v>
      </c>
      <c r="D17" s="361">
        <v>193</v>
      </c>
      <c r="E17" s="362">
        <v>250</v>
      </c>
      <c r="F17" s="363">
        <f t="shared" si="0"/>
        <v>1.2953367875647668</v>
      </c>
      <c r="G17" s="361">
        <v>97</v>
      </c>
      <c r="H17" s="362">
        <v>110</v>
      </c>
      <c r="I17" s="363">
        <f t="shared" si="1"/>
        <v>1.134020618556701</v>
      </c>
      <c r="J17" s="361">
        <v>30</v>
      </c>
      <c r="K17" s="362">
        <v>40</v>
      </c>
      <c r="L17" s="363">
        <f t="shared" si="2"/>
        <v>1.3333333333333333</v>
      </c>
      <c r="M17" s="361">
        <v>5</v>
      </c>
      <c r="N17" s="362">
        <v>7</v>
      </c>
      <c r="O17" s="363">
        <f t="shared" si="3"/>
        <v>1.4</v>
      </c>
      <c r="P17" s="361">
        <v>44</v>
      </c>
      <c r="Q17" s="364">
        <v>60</v>
      </c>
      <c r="R17" s="363">
        <f t="shared" si="4"/>
        <v>1.3636363636363635</v>
      </c>
      <c r="S17" s="365">
        <v>34549.200817000004</v>
      </c>
      <c r="T17" s="365">
        <v>52000</v>
      </c>
      <c r="U17" s="363">
        <f t="shared" si="5"/>
        <v>1.5050999377795533</v>
      </c>
      <c r="V17" s="366">
        <v>796.63088151399995</v>
      </c>
      <c r="W17" s="366">
        <v>1080</v>
      </c>
      <c r="X17" s="363">
        <f t="shared" si="6"/>
        <v>1.355709432136821</v>
      </c>
      <c r="Y17" s="367">
        <v>1722</v>
      </c>
      <c r="Z17" s="367">
        <v>2500</v>
      </c>
      <c r="AA17" s="363">
        <f t="shared" si="7"/>
        <v>1.4518002322880372</v>
      </c>
    </row>
    <row r="18" spans="2:27" ht="35.25" customHeight="1" x14ac:dyDescent="0.2">
      <c r="B18" s="359">
        <v>12</v>
      </c>
      <c r="C18" s="360" t="s">
        <v>366</v>
      </c>
      <c r="D18" s="361">
        <v>139</v>
      </c>
      <c r="E18" s="362">
        <v>200</v>
      </c>
      <c r="F18" s="363">
        <f t="shared" si="0"/>
        <v>1.4388489208633093</v>
      </c>
      <c r="G18" s="361">
        <v>41</v>
      </c>
      <c r="H18" s="362">
        <v>50</v>
      </c>
      <c r="I18" s="363">
        <f t="shared" si="1"/>
        <v>1.2195121951219512</v>
      </c>
      <c r="J18" s="361">
        <v>31</v>
      </c>
      <c r="K18" s="362">
        <v>40</v>
      </c>
      <c r="L18" s="363">
        <f t="shared" si="2"/>
        <v>1.2903225806451613</v>
      </c>
      <c r="M18" s="361">
        <v>3</v>
      </c>
      <c r="N18" s="362">
        <v>5</v>
      </c>
      <c r="O18" s="363">
        <f t="shared" si="3"/>
        <v>1.6666666666666667</v>
      </c>
      <c r="P18" s="361">
        <v>20</v>
      </c>
      <c r="Q18" s="364">
        <v>35</v>
      </c>
      <c r="R18" s="363">
        <f t="shared" si="4"/>
        <v>1.75</v>
      </c>
      <c r="S18" s="365">
        <v>22769.730490000002</v>
      </c>
      <c r="T18" s="365">
        <v>28000</v>
      </c>
      <c r="U18" s="363">
        <f t="shared" si="5"/>
        <v>1.2297027412027133</v>
      </c>
      <c r="V18" s="366">
        <v>429.44487463899998</v>
      </c>
      <c r="W18" s="366">
        <v>650</v>
      </c>
      <c r="X18" s="363">
        <f t="shared" si="6"/>
        <v>1.5135819249127216</v>
      </c>
      <c r="Y18" s="367">
        <v>1917</v>
      </c>
      <c r="Z18" s="367">
        <v>2800</v>
      </c>
      <c r="AA18" s="363">
        <f t="shared" si="7"/>
        <v>1.4606155451225873</v>
      </c>
    </row>
    <row r="19" spans="2:27" ht="35.25" customHeight="1" x14ac:dyDescent="0.2">
      <c r="B19" s="359">
        <v>13</v>
      </c>
      <c r="C19" s="360" t="s">
        <v>367</v>
      </c>
      <c r="D19" s="361">
        <v>112</v>
      </c>
      <c r="E19" s="362">
        <v>165</v>
      </c>
      <c r="F19" s="363">
        <f t="shared" si="0"/>
        <v>1.4732142857142858</v>
      </c>
      <c r="G19" s="361">
        <v>22</v>
      </c>
      <c r="H19" s="362">
        <v>30</v>
      </c>
      <c r="I19" s="363">
        <f t="shared" si="1"/>
        <v>1.3636363636363635</v>
      </c>
      <c r="J19" s="361">
        <v>28</v>
      </c>
      <c r="K19" s="362">
        <v>50</v>
      </c>
      <c r="L19" s="363">
        <f t="shared" si="2"/>
        <v>1.7857142857142858</v>
      </c>
      <c r="M19" s="361">
        <v>4</v>
      </c>
      <c r="N19" s="362">
        <v>5</v>
      </c>
      <c r="O19" s="363">
        <f t="shared" si="3"/>
        <v>1.25</v>
      </c>
      <c r="P19" s="361">
        <v>22</v>
      </c>
      <c r="Q19" s="364">
        <v>35</v>
      </c>
      <c r="R19" s="363">
        <f t="shared" si="4"/>
        <v>1.5909090909090908</v>
      </c>
      <c r="S19" s="365">
        <v>4660.0886300000002</v>
      </c>
      <c r="T19" s="365">
        <v>8000</v>
      </c>
      <c r="U19" s="363">
        <f t="shared" si="5"/>
        <v>1.7167055468642449</v>
      </c>
      <c r="V19" s="366">
        <v>239.66920685600002</v>
      </c>
      <c r="W19" s="366">
        <v>360</v>
      </c>
      <c r="X19" s="363">
        <f t="shared" si="6"/>
        <v>1.5020703106690636</v>
      </c>
      <c r="Y19" s="367">
        <v>1039</v>
      </c>
      <c r="Z19" s="367">
        <v>1800</v>
      </c>
      <c r="AA19" s="363">
        <f t="shared" si="7"/>
        <v>1.7324350336862369</v>
      </c>
    </row>
    <row r="20" spans="2:27" ht="45" customHeight="1" x14ac:dyDescent="0.2">
      <c r="B20" s="626" t="s">
        <v>369</v>
      </c>
      <c r="C20" s="627"/>
      <c r="D20" s="354">
        <f>+SUM(D7:D19)</f>
        <v>1308</v>
      </c>
      <c r="E20" s="354">
        <f>+SUM(E7:E19)</f>
        <v>1790</v>
      </c>
      <c r="F20" s="355">
        <f t="shared" si="0"/>
        <v>1.3685015290519877</v>
      </c>
      <c r="G20" s="354">
        <f>+SUM(G7:G19)</f>
        <v>300</v>
      </c>
      <c r="H20" s="354">
        <f>+SUM(H7:H19)</f>
        <v>384</v>
      </c>
      <c r="I20" s="355">
        <f t="shared" si="1"/>
        <v>1.28</v>
      </c>
      <c r="J20" s="354">
        <f>+SUM(J7:J19)</f>
        <v>369</v>
      </c>
      <c r="K20" s="354">
        <f>+SUM(K7:K19)</f>
        <v>495</v>
      </c>
      <c r="L20" s="355">
        <f t="shared" si="2"/>
        <v>1.3414634146341464</v>
      </c>
      <c r="M20" s="354">
        <f>+SUM(M7:M19)</f>
        <v>28</v>
      </c>
      <c r="N20" s="354">
        <f>+SUM(N7:N19)</f>
        <v>55</v>
      </c>
      <c r="O20" s="355">
        <f t="shared" si="3"/>
        <v>1.9642857142857142</v>
      </c>
      <c r="P20" s="354">
        <f>+SUM(P7:P19)</f>
        <v>281</v>
      </c>
      <c r="Q20" s="354">
        <f>+SUM(Q7:Q19)</f>
        <v>430</v>
      </c>
      <c r="R20" s="355">
        <f t="shared" si="4"/>
        <v>1.5302491103202847</v>
      </c>
      <c r="S20" s="354">
        <f>+SUM(S7:S19)</f>
        <v>146199.07652600005</v>
      </c>
      <c r="T20" s="354">
        <f>+SUM(T7:T19)</f>
        <v>211000</v>
      </c>
      <c r="U20" s="355">
        <f t="shared" si="5"/>
        <v>1.4432375703992615</v>
      </c>
      <c r="V20" s="354">
        <f>+SUM(V7:V19)</f>
        <v>3193.4265558289994</v>
      </c>
      <c r="W20" s="354">
        <f>+SUM(W7:W19)</f>
        <v>5190</v>
      </c>
      <c r="X20" s="355">
        <f t="shared" si="6"/>
        <v>1.6252135157223615</v>
      </c>
      <c r="Y20" s="354">
        <f>+SUM(Y7:Y19)</f>
        <v>13492</v>
      </c>
      <c r="Z20" s="354">
        <f>+SUM(Z7:Z19)</f>
        <v>22500</v>
      </c>
      <c r="AA20" s="355">
        <f t="shared" si="7"/>
        <v>1.6676549066113253</v>
      </c>
    </row>
    <row r="21" spans="2:27" ht="49.15" customHeight="1" x14ac:dyDescent="0.2">
      <c r="B21" s="359">
        <v>15</v>
      </c>
      <c r="C21" s="360" t="s">
        <v>368</v>
      </c>
      <c r="D21" s="361">
        <f>2057+70</f>
        <v>2127</v>
      </c>
      <c r="E21" s="362">
        <f>2250+160</f>
        <v>2410</v>
      </c>
      <c r="F21" s="363">
        <f t="shared" si="0"/>
        <v>1.1330512458862247</v>
      </c>
      <c r="G21" s="361">
        <v>672</v>
      </c>
      <c r="H21" s="362">
        <v>816</v>
      </c>
      <c r="I21" s="363">
        <f t="shared" si="1"/>
        <v>1.2142857142857142</v>
      </c>
      <c r="J21" s="361">
        <v>126</v>
      </c>
      <c r="K21" s="362">
        <v>255</v>
      </c>
      <c r="L21" s="363">
        <f t="shared" si="2"/>
        <v>2.0238095238095237</v>
      </c>
      <c r="M21" s="361">
        <v>75</v>
      </c>
      <c r="N21" s="362">
        <v>85</v>
      </c>
      <c r="O21" s="363">
        <f t="shared" si="3"/>
        <v>1.1333333333333333</v>
      </c>
      <c r="P21" s="361">
        <v>619</v>
      </c>
      <c r="Q21" s="362">
        <v>820</v>
      </c>
      <c r="R21" s="363">
        <f t="shared" si="4"/>
        <v>1.3247172859450727</v>
      </c>
      <c r="S21" s="365">
        <v>570230.5</v>
      </c>
      <c r="T21" s="369">
        <f>836500-27500</f>
        <v>809000</v>
      </c>
      <c r="U21" s="363">
        <f t="shared" si="5"/>
        <v>1.4187245333246818</v>
      </c>
      <c r="V21" s="366">
        <v>30211.9</v>
      </c>
      <c r="W21" s="366">
        <v>28310</v>
      </c>
      <c r="X21" s="363">
        <f t="shared" si="6"/>
        <v>0.93704798440349657</v>
      </c>
      <c r="Y21" s="367">
        <v>39534</v>
      </c>
      <c r="Z21" s="368">
        <v>47500</v>
      </c>
      <c r="AA21" s="363">
        <f t="shared" si="7"/>
        <v>1.2014974452370111</v>
      </c>
    </row>
    <row r="23" spans="2:27" ht="23.25" x14ac:dyDescent="0.2">
      <c r="T23" s="365"/>
    </row>
  </sheetData>
  <mergeCells count="12">
    <mergeCell ref="B6:C6"/>
    <mergeCell ref="B20:C20"/>
    <mergeCell ref="B2:AA2"/>
    <mergeCell ref="B4:C5"/>
    <mergeCell ref="D4:F4"/>
    <mergeCell ref="G4:I4"/>
    <mergeCell ref="J4:L4"/>
    <mergeCell ref="M4:O4"/>
    <mergeCell ref="P4:R4"/>
    <mergeCell ref="S4:U4"/>
    <mergeCell ref="V4:X4"/>
    <mergeCell ref="Y4:AA4"/>
  </mergeCells>
  <pageMargins left="0.41" right="0.16" top="0.2" bottom="0.2" header="0.2" footer="0.2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5</vt:i4>
      </vt:variant>
    </vt:vector>
  </HeadingPairs>
  <TitlesOfParts>
    <vt:vector size="26" baseType="lpstr">
      <vt:lpstr>Tarkib</vt:lpstr>
      <vt:lpstr>1-жадвал</vt:lpstr>
      <vt:lpstr>2-жадвал</vt:lpstr>
      <vt:lpstr>3-жадвал</vt:lpstr>
      <vt:lpstr>3.1-жадвал</vt:lpstr>
      <vt:lpstr>3.2-жадвал</vt:lpstr>
      <vt:lpstr>3.3-жадвал</vt:lpstr>
      <vt:lpstr>3.4-жадвал</vt:lpstr>
      <vt:lpstr>4-жадвал</vt:lpstr>
      <vt:lpstr>5-жадвал</vt:lpstr>
      <vt:lpstr>6-жадвал</vt:lpstr>
      <vt:lpstr>6.1-жадвал</vt:lpstr>
      <vt:lpstr>7-жадвал</vt:lpstr>
      <vt:lpstr>7.1-жадвал</vt:lpstr>
      <vt:lpstr>8-жадвал</vt:lpstr>
      <vt:lpstr>8.1-жадвал</vt:lpstr>
      <vt:lpstr>9-жадвал</vt:lpstr>
      <vt:lpstr>9.1-жадвал</vt:lpstr>
      <vt:lpstr>10-жадвал</vt:lpstr>
      <vt:lpstr>11-жадвал</vt:lpstr>
      <vt:lpstr>KPI</vt:lpstr>
      <vt:lpstr>'5-жадвал'!Заголовки_для_печати</vt:lpstr>
      <vt:lpstr>'5-жадвал'!Область_печати</vt:lpstr>
      <vt:lpstr>'6.1-жадвал'!Область_печати</vt:lpstr>
      <vt:lpstr>'6-жадвал'!Область_печати</vt:lpstr>
      <vt:lpstr>KPI!Область_печати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Botir Irgashev</dc:creator>
  <cp:lastModifiedBy>Sherzod Muminov</cp:lastModifiedBy>
  <cp:lastPrinted>2026-03-16T07:02:55Z</cp:lastPrinted>
  <dcterms:created xsi:type="dcterms:W3CDTF">2015-06-05T18:19:34Z</dcterms:created>
  <dcterms:modified xsi:type="dcterms:W3CDTF">2026-03-16T12:17:29Z</dcterms:modified>
</cp:coreProperties>
</file>