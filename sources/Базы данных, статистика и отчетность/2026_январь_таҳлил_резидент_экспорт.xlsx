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Резидент" sheetId="3" r:id="rId1"/>
    <sheet name="Маълумот" sheetId="4" r:id="rId2"/>
  </sheets>
  <definedNames>
    <definedName name="_xlnm._FilterDatabase" localSheetId="0" hidden="1">Резидент!$A$1:$J$30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3" l="1"/>
  <c r="D5" i="4" l="1"/>
  <c r="D4" i="4"/>
  <c r="C6" i="4"/>
  <c r="B6" i="4"/>
  <c r="H28" i="3"/>
  <c r="H27" i="3"/>
  <c r="H26" i="3"/>
  <c r="D6" i="4" l="1"/>
</calcChain>
</file>

<file path=xl/sharedStrings.xml><?xml version="1.0" encoding="utf-8"?>
<sst xmlns="http://schemas.openxmlformats.org/spreadsheetml/2006/main" count="178" uniqueCount="102">
  <si>
    <t>15011127</t>
  </si>
  <si>
    <t>26578995</t>
  </si>
  <si>
    <t>27841006</t>
  </si>
  <si>
    <t>29507607</t>
  </si>
  <si>
    <t>29820907</t>
  </si>
  <si>
    <t>29957724</t>
  </si>
  <si>
    <t>30079105</t>
  </si>
  <si>
    <t>30140520</t>
  </si>
  <si>
    <t>30569453</t>
  </si>
  <si>
    <t>31039639</t>
  </si>
  <si>
    <t>31046312</t>
  </si>
  <si>
    <t>31049520</t>
  </si>
  <si>
    <t>31125115</t>
  </si>
  <si>
    <t>31168360</t>
  </si>
  <si>
    <t>31234051</t>
  </si>
  <si>
    <t>31506905</t>
  </si>
  <si>
    <t>31687769</t>
  </si>
  <si>
    <t>31800183</t>
  </si>
  <si>
    <t>31877205</t>
  </si>
  <si>
    <t>31899773</t>
  </si>
  <si>
    <t>31958205</t>
  </si>
  <si>
    <t>32046009</t>
  </si>
  <si>
    <t>32163592</t>
  </si>
  <si>
    <t>32202113</t>
  </si>
  <si>
    <t>32397832</t>
  </si>
  <si>
    <t>33418418</t>
  </si>
  <si>
    <t>34699454</t>
  </si>
  <si>
    <t>2025 я-дек</t>
  </si>
  <si>
    <t>2025 январь</t>
  </si>
  <si>
    <t>2026 январь</t>
  </si>
  <si>
    <t>NAME_S</t>
  </si>
  <si>
    <t>PTP</t>
  </si>
  <si>
    <t>OKPO</t>
  </si>
  <si>
    <t>INN</t>
  </si>
  <si>
    <t>200528816</t>
  </si>
  <si>
    <t>"FIDO-BIZNES" MChJ</t>
  </si>
  <si>
    <t>304331344</t>
  </si>
  <si>
    <t>"AHMAD TOHIR AGRO" MChJ</t>
  </si>
  <si>
    <t>305568705</t>
  </si>
  <si>
    <t>"WORKLY" MChJ</t>
  </si>
  <si>
    <t>307205394</t>
  </si>
  <si>
    <t>"UDEVS" MChJ</t>
  </si>
  <si>
    <t>307515025</t>
  </si>
  <si>
    <t>"VANNER GLOBAL EXPRESS" MChJ</t>
  </si>
  <si>
    <t>307649974</t>
  </si>
  <si>
    <t>"JETRUCK-LOGISTICS" MChJ</t>
  </si>
  <si>
    <t>307769564</t>
  </si>
  <si>
    <t>"HUMANS LAB" MChJ</t>
  </si>
  <si>
    <t>307829813</t>
  </si>
  <si>
    <t>"SHIPCO TRANSPORTATION" MChJ</t>
  </si>
  <si>
    <t>308252614</t>
  </si>
  <si>
    <t>"BLMEDIA" MChJ</t>
  </si>
  <si>
    <t>308745087</t>
  </si>
  <si>
    <t>"THE WEWORK GROUP" MChJ</t>
  </si>
  <si>
    <t>308751832</t>
  </si>
  <si>
    <t>"TAQSIM SOLUTION" MChJ</t>
  </si>
  <si>
    <t>308755028</t>
  </si>
  <si>
    <t>"GRAND PROSPERITY TEAM" MChJ</t>
  </si>
  <si>
    <t>308830164</t>
  </si>
  <si>
    <t>"ZMT INTEGRITY" MChJ XK</t>
  </si>
  <si>
    <t>308873349</t>
  </si>
  <si>
    <t>"BOGG EXPRES" MChJ</t>
  </si>
  <si>
    <t>308938677</t>
  </si>
  <si>
    <t>"AR-GLOBAL-LOGISTIC" MChJ</t>
  </si>
  <si>
    <t>309210523</t>
  </si>
  <si>
    <t>"IT LOGISTIC-GLOBAL" MChJ</t>
  </si>
  <si>
    <t>309391884</t>
  </si>
  <si>
    <t>"LONGHORN GROUP" MChJ</t>
  </si>
  <si>
    <t>309503220</t>
  </si>
  <si>
    <t>"ASCENSIO SYSTEM" MChJ</t>
  </si>
  <si>
    <t>309579522</t>
  </si>
  <si>
    <t>"SPORT STATISTICS" MChJ</t>
  </si>
  <si>
    <t>309601850</t>
  </si>
  <si>
    <t>"QUALQORE" MChJ</t>
  </si>
  <si>
    <t>309659374</t>
  </si>
  <si>
    <t>"PITTSBURGH INTERNATIONAL" MChJ</t>
  </si>
  <si>
    <t>309746780</t>
  </si>
  <si>
    <t>"GRAYSCALE" MChJ</t>
  </si>
  <si>
    <t>309869841</t>
  </si>
  <si>
    <t>"ALIF IT" MChJ XK</t>
  </si>
  <si>
    <t>309901802</t>
  </si>
  <si>
    <t>"AER-CA" MChJ</t>
  </si>
  <si>
    <t>310097143</t>
  </si>
  <si>
    <t>"ONE-IT TEAM" MChJ</t>
  </si>
  <si>
    <t>311107469</t>
  </si>
  <si>
    <t>"SPRINT DSP SERVICE" MChJ</t>
  </si>
  <si>
    <t>312373961</t>
  </si>
  <si>
    <t>"NEXTLEVEL SOLUTIONS" MChJ</t>
  </si>
  <si>
    <t>Резидент</t>
  </si>
  <si>
    <t>крупный</t>
  </si>
  <si>
    <t>2025 йилга нисбатан камайиб кетган</t>
  </si>
  <si>
    <t>Жами</t>
  </si>
  <si>
    <t>Норезидент</t>
  </si>
  <si>
    <t>2026 
январь</t>
  </si>
  <si>
    <t>2025 
январь</t>
  </si>
  <si>
    <t>%</t>
  </si>
  <si>
    <t>АКТ хизматлари экспорти тўғрисида маълумот</t>
  </si>
  <si>
    <t>2025 йил давомида экспорт бор 2026 йилда йўқ</t>
  </si>
  <si>
    <t>-</t>
  </si>
  <si>
    <t>Изоҳ</t>
  </si>
  <si>
    <t>Itpark 2026 январь</t>
  </si>
  <si>
    <t>Itpark ҳисоботида 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</si>
</sst>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_ ;[Red]\-#,##0.0\ 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Ms Sans Serif"/>
      <charset val="204"/>
    </font>
    <font>
      <b/>
      <sz val="11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1" fontId="2" fillId="2" borderId="3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3" fillId="0" borderId="1" xfId="1" applyFon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right"/>
    </xf>
    <xf numFmtId="0" fontId="3" fillId="0" borderId="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1" fontId="2" fillId="0" borderId="2" xfId="0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right"/>
    </xf>
    <xf numFmtId="164" fontId="4" fillId="3" borderId="0" xfId="0" applyNumberFormat="1" applyFont="1" applyFill="1"/>
    <xf numFmtId="0" fontId="4" fillId="0" borderId="4" xfId="0" applyFont="1" applyBorder="1"/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4" fillId="0" borderId="0" xfId="0" applyFont="1" applyAlignment="1">
      <alignment horizontal="left" indent="1"/>
    </xf>
    <xf numFmtId="0" fontId="3" fillId="0" borderId="6" xfId="1" applyFont="1" applyFill="1" applyBorder="1" applyAlignment="1">
      <alignment horizontal="left"/>
    </xf>
    <xf numFmtId="0" fontId="3" fillId="0" borderId="6" xfId="1" applyFont="1" applyFill="1" applyBorder="1" applyAlignment="1">
      <alignment horizontal="center"/>
    </xf>
    <xf numFmtId="164" fontId="3" fillId="0" borderId="6" xfId="1" applyNumberFormat="1" applyFont="1" applyFill="1" applyBorder="1" applyAlignment="1">
      <alignment horizontal="right"/>
    </xf>
    <xf numFmtId="164" fontId="3" fillId="3" borderId="6" xfId="1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5" fontId="3" fillId="3" borderId="6" xfId="1" applyNumberFormat="1" applyFont="1" applyFill="1" applyBorder="1" applyAlignment="1">
      <alignment horizontal="right"/>
    </xf>
    <xf numFmtId="165" fontId="3" fillId="0" borderId="6" xfId="1" applyNumberFormat="1" applyFont="1" applyFill="1" applyBorder="1" applyAlignment="1">
      <alignment horizontal="right"/>
    </xf>
    <xf numFmtId="165" fontId="4" fillId="0" borderId="0" xfId="0" applyNumberFormat="1" applyFont="1" applyFill="1"/>
    <xf numFmtId="0" fontId="4" fillId="0" borderId="0" xfId="0" applyFont="1" applyFill="1"/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B1" zoomScale="130" zoomScaleNormal="130" workbookViewId="0">
      <pane ySplit="1" topLeftCell="A2" activePane="bottomLeft" state="frozen"/>
      <selection pane="bottomLeft" activeCell="M25" sqref="M25"/>
    </sheetView>
  </sheetViews>
  <sheetFormatPr defaultRowHeight="14.25" x14ac:dyDescent="0.2"/>
  <cols>
    <col min="1" max="1" width="9.28515625" style="3" customWidth="1"/>
    <col min="2" max="2" width="10" style="3" bestFit="1" customWidth="1"/>
    <col min="3" max="3" width="20.28515625" style="3" customWidth="1"/>
    <col min="4" max="4" width="9.140625" style="7"/>
    <col min="5" max="7" width="16.7109375" style="8" customWidth="1"/>
    <col min="8" max="8" width="12.7109375" style="8" bestFit="1" customWidth="1"/>
    <col min="9" max="9" width="48.85546875" style="3" bestFit="1" customWidth="1"/>
    <col min="10" max="10" width="22.7109375" style="3" customWidth="1"/>
    <col min="11" max="16384" width="9.140625" style="3"/>
  </cols>
  <sheetData>
    <row r="1" spans="1:11" ht="15.75" thickBot="1" x14ac:dyDescent="0.3">
      <c r="A1" s="1" t="s">
        <v>32</v>
      </c>
      <c r="B1" s="2" t="s">
        <v>33</v>
      </c>
      <c r="C1" s="2" t="s">
        <v>30</v>
      </c>
      <c r="D1" s="2" t="s">
        <v>31</v>
      </c>
      <c r="E1" s="9" t="s">
        <v>27</v>
      </c>
      <c r="F1" s="9" t="s">
        <v>28</v>
      </c>
      <c r="G1" s="9" t="s">
        <v>29</v>
      </c>
      <c r="H1" s="9" t="s">
        <v>95</v>
      </c>
      <c r="I1" s="22" t="s">
        <v>99</v>
      </c>
      <c r="J1" s="9" t="s">
        <v>100</v>
      </c>
    </row>
    <row r="2" spans="1:11" x14ac:dyDescent="0.2">
      <c r="A2" s="18" t="s">
        <v>23</v>
      </c>
      <c r="B2" s="18" t="s">
        <v>80</v>
      </c>
      <c r="C2" s="18" t="s">
        <v>81</v>
      </c>
      <c r="D2" s="19" t="s">
        <v>89</v>
      </c>
      <c r="E2" s="20">
        <v>8775.0666999999994</v>
      </c>
      <c r="F2" s="20">
        <v>0</v>
      </c>
      <c r="G2" s="21">
        <v>0</v>
      </c>
      <c r="H2" s="23" t="s">
        <v>98</v>
      </c>
      <c r="I2" s="3" t="s">
        <v>97</v>
      </c>
      <c r="J2" s="24">
        <v>441.13074</v>
      </c>
      <c r="K2" s="3" t="s">
        <v>101</v>
      </c>
    </row>
    <row r="3" spans="1:11" x14ac:dyDescent="0.2">
      <c r="A3" s="4" t="s">
        <v>24</v>
      </c>
      <c r="B3" s="4" t="s">
        <v>82</v>
      </c>
      <c r="C3" s="4" t="s">
        <v>83</v>
      </c>
      <c r="D3" s="6" t="s">
        <v>89</v>
      </c>
      <c r="E3" s="5">
        <v>7940.4599999999991</v>
      </c>
      <c r="F3" s="5">
        <v>0</v>
      </c>
      <c r="G3" s="10">
        <v>0</v>
      </c>
      <c r="H3" s="23" t="s">
        <v>98</v>
      </c>
      <c r="I3" s="3" t="s">
        <v>97</v>
      </c>
      <c r="J3" s="25"/>
    </row>
    <row r="4" spans="1:11" x14ac:dyDescent="0.2">
      <c r="A4" s="4" t="s">
        <v>17</v>
      </c>
      <c r="B4" s="4" t="s">
        <v>68</v>
      </c>
      <c r="C4" s="4" t="s">
        <v>69</v>
      </c>
      <c r="D4" s="6" t="s">
        <v>89</v>
      </c>
      <c r="E4" s="5">
        <v>4537.65326</v>
      </c>
      <c r="F4" s="5">
        <v>132.12729999999999</v>
      </c>
      <c r="G4" s="10">
        <v>0</v>
      </c>
      <c r="H4" s="23" t="s">
        <v>98</v>
      </c>
      <c r="I4" s="3" t="s">
        <v>97</v>
      </c>
      <c r="J4" s="25"/>
    </row>
    <row r="5" spans="1:11" x14ac:dyDescent="0.2">
      <c r="A5" s="4" t="s">
        <v>14</v>
      </c>
      <c r="B5" s="4" t="s">
        <v>62</v>
      </c>
      <c r="C5" s="4" t="s">
        <v>63</v>
      </c>
      <c r="D5" s="6" t="s">
        <v>89</v>
      </c>
      <c r="E5" s="5">
        <v>2373.6</v>
      </c>
      <c r="F5" s="5">
        <v>411.8</v>
      </c>
      <c r="G5" s="10">
        <v>0</v>
      </c>
      <c r="H5" s="23" t="s">
        <v>98</v>
      </c>
      <c r="I5" s="3" t="s">
        <v>97</v>
      </c>
      <c r="J5" s="25"/>
    </row>
    <row r="6" spans="1:11" x14ac:dyDescent="0.2">
      <c r="A6" s="4" t="s">
        <v>1</v>
      </c>
      <c r="B6" s="4" t="s">
        <v>36</v>
      </c>
      <c r="C6" s="4" t="s">
        <v>37</v>
      </c>
      <c r="D6" s="6" t="s">
        <v>89</v>
      </c>
      <c r="E6" s="5">
        <v>2341.7000000000003</v>
      </c>
      <c r="F6" s="5">
        <v>297.3</v>
      </c>
      <c r="G6" s="10">
        <v>0</v>
      </c>
      <c r="H6" s="23" t="s">
        <v>98</v>
      </c>
      <c r="I6" s="3" t="s">
        <v>97</v>
      </c>
      <c r="J6" s="25"/>
    </row>
    <row r="7" spans="1:11" x14ac:dyDescent="0.2">
      <c r="A7" s="4" t="s">
        <v>13</v>
      </c>
      <c r="B7" s="4" t="s">
        <v>60</v>
      </c>
      <c r="C7" s="4" t="s">
        <v>61</v>
      </c>
      <c r="D7" s="6" t="s">
        <v>89</v>
      </c>
      <c r="E7" s="5">
        <v>2184.2664999999997</v>
      </c>
      <c r="F7" s="5">
        <v>0</v>
      </c>
      <c r="G7" s="10">
        <v>0</v>
      </c>
      <c r="H7" s="23" t="s">
        <v>98</v>
      </c>
      <c r="I7" s="3" t="s">
        <v>97</v>
      </c>
      <c r="J7" s="25"/>
    </row>
    <row r="8" spans="1:11" x14ac:dyDescent="0.2">
      <c r="A8" s="4" t="s">
        <v>6</v>
      </c>
      <c r="B8" s="4" t="s">
        <v>46</v>
      </c>
      <c r="C8" s="4" t="s">
        <v>47</v>
      </c>
      <c r="D8" s="6" t="s">
        <v>89</v>
      </c>
      <c r="E8" s="5">
        <v>2149</v>
      </c>
      <c r="F8" s="5">
        <v>695</v>
      </c>
      <c r="G8" s="10">
        <v>0</v>
      </c>
      <c r="H8" s="23" t="s">
        <v>98</v>
      </c>
      <c r="I8" s="3" t="s">
        <v>97</v>
      </c>
      <c r="J8" s="25"/>
    </row>
    <row r="9" spans="1:11" x14ac:dyDescent="0.2">
      <c r="A9" s="4" t="s">
        <v>21</v>
      </c>
      <c r="B9" s="4" t="s">
        <v>76</v>
      </c>
      <c r="C9" s="4" t="s">
        <v>77</v>
      </c>
      <c r="D9" s="6" t="s">
        <v>89</v>
      </c>
      <c r="E9" s="5">
        <v>831.59681</v>
      </c>
      <c r="F9" s="5">
        <v>120.414</v>
      </c>
      <c r="G9" s="10">
        <v>0</v>
      </c>
      <c r="H9" s="23" t="s">
        <v>98</v>
      </c>
      <c r="I9" s="3" t="s">
        <v>97</v>
      </c>
      <c r="J9" s="25"/>
    </row>
    <row r="10" spans="1:11" x14ac:dyDescent="0.2">
      <c r="A10" s="4" t="s">
        <v>12</v>
      </c>
      <c r="B10" s="4" t="s">
        <v>58</v>
      </c>
      <c r="C10" s="4" t="s">
        <v>59</v>
      </c>
      <c r="D10" s="6" t="s">
        <v>89</v>
      </c>
      <c r="E10" s="5">
        <v>737.33483000000001</v>
      </c>
      <c r="F10" s="5">
        <v>253.06700000000001</v>
      </c>
      <c r="G10" s="10">
        <v>0</v>
      </c>
      <c r="H10" s="23" t="s">
        <v>98</v>
      </c>
      <c r="I10" s="3" t="s">
        <v>97</v>
      </c>
      <c r="J10" s="25"/>
    </row>
    <row r="11" spans="1:11" x14ac:dyDescent="0.2">
      <c r="A11" s="4" t="s">
        <v>11</v>
      </c>
      <c r="B11" s="4" t="s">
        <v>56</v>
      </c>
      <c r="C11" s="4" t="s">
        <v>57</v>
      </c>
      <c r="D11" s="6" t="s">
        <v>89</v>
      </c>
      <c r="E11" s="5">
        <v>498.98200000000003</v>
      </c>
      <c r="F11" s="5">
        <v>211.99</v>
      </c>
      <c r="G11" s="10">
        <v>0</v>
      </c>
      <c r="H11" s="23" t="s">
        <v>98</v>
      </c>
      <c r="I11" s="3" t="s">
        <v>97</v>
      </c>
      <c r="J11" s="25"/>
    </row>
    <row r="12" spans="1:11" x14ac:dyDescent="0.2">
      <c r="A12" s="4" t="s">
        <v>18</v>
      </c>
      <c r="B12" s="4" t="s">
        <v>70</v>
      </c>
      <c r="C12" s="4" t="s">
        <v>71</v>
      </c>
      <c r="D12" s="6" t="s">
        <v>89</v>
      </c>
      <c r="E12" s="5">
        <v>275.07</v>
      </c>
      <c r="F12" s="5">
        <v>0</v>
      </c>
      <c r="G12" s="10">
        <v>0</v>
      </c>
      <c r="H12" s="23" t="s">
        <v>98</v>
      </c>
      <c r="I12" s="3" t="s">
        <v>97</v>
      </c>
      <c r="J12" s="25"/>
    </row>
    <row r="13" spans="1:11" x14ac:dyDescent="0.2">
      <c r="A13" s="4" t="s">
        <v>9</v>
      </c>
      <c r="B13" s="4" t="s">
        <v>52</v>
      </c>
      <c r="C13" s="4" t="s">
        <v>53</v>
      </c>
      <c r="D13" s="6" t="s">
        <v>89</v>
      </c>
      <c r="E13" s="5">
        <v>246.84414000000001</v>
      </c>
      <c r="F13" s="5">
        <v>0</v>
      </c>
      <c r="G13" s="10">
        <v>0</v>
      </c>
      <c r="H13" s="23" t="s">
        <v>98</v>
      </c>
      <c r="I13" s="3" t="s">
        <v>97</v>
      </c>
      <c r="J13" s="25"/>
    </row>
    <row r="14" spans="1:11" x14ac:dyDescent="0.2">
      <c r="A14" s="4" t="s">
        <v>8</v>
      </c>
      <c r="B14" s="4" t="s">
        <v>50</v>
      </c>
      <c r="C14" s="4" t="s">
        <v>51</v>
      </c>
      <c r="D14" s="6" t="s">
        <v>89</v>
      </c>
      <c r="E14" s="5">
        <v>201.6</v>
      </c>
      <c r="F14" s="5">
        <v>0</v>
      </c>
      <c r="G14" s="10">
        <v>0</v>
      </c>
      <c r="H14" s="23" t="s">
        <v>98</v>
      </c>
      <c r="I14" s="3" t="s">
        <v>97</v>
      </c>
      <c r="J14" s="25"/>
    </row>
    <row r="15" spans="1:11" x14ac:dyDescent="0.2">
      <c r="A15" s="4" t="s">
        <v>26</v>
      </c>
      <c r="B15" s="4" t="s">
        <v>86</v>
      </c>
      <c r="C15" s="4" t="s">
        <v>87</v>
      </c>
      <c r="D15" s="6" t="s">
        <v>89</v>
      </c>
      <c r="E15" s="5">
        <v>179</v>
      </c>
      <c r="F15" s="5">
        <v>0</v>
      </c>
      <c r="G15" s="10">
        <v>0</v>
      </c>
      <c r="H15" s="23" t="s">
        <v>98</v>
      </c>
      <c r="I15" s="3" t="s">
        <v>97</v>
      </c>
      <c r="J15" s="25"/>
    </row>
    <row r="16" spans="1:11" x14ac:dyDescent="0.2">
      <c r="A16" s="4" t="s">
        <v>0</v>
      </c>
      <c r="B16" s="4" t="s">
        <v>34</v>
      </c>
      <c r="C16" s="4" t="s">
        <v>35</v>
      </c>
      <c r="D16" s="6" t="s">
        <v>89</v>
      </c>
      <c r="E16" s="5">
        <v>128.649</v>
      </c>
      <c r="F16" s="5">
        <v>0</v>
      </c>
      <c r="G16" s="10">
        <v>0</v>
      </c>
      <c r="H16" s="23" t="s">
        <v>98</v>
      </c>
      <c r="I16" s="3" t="s">
        <v>97</v>
      </c>
      <c r="J16" s="25"/>
    </row>
    <row r="17" spans="1:11" x14ac:dyDescent="0.2">
      <c r="A17" s="4" t="s">
        <v>25</v>
      </c>
      <c r="B17" s="4" t="s">
        <v>84</v>
      </c>
      <c r="C17" s="4" t="s">
        <v>85</v>
      </c>
      <c r="D17" s="6" t="s">
        <v>89</v>
      </c>
      <c r="E17" s="5">
        <v>96.614999999999995</v>
      </c>
      <c r="F17" s="5">
        <v>0</v>
      </c>
      <c r="G17" s="10">
        <v>0</v>
      </c>
      <c r="H17" s="23" t="s">
        <v>98</v>
      </c>
      <c r="I17" s="3" t="s">
        <v>97</v>
      </c>
      <c r="J17" s="24">
        <v>396.59684000000004</v>
      </c>
      <c r="K17" s="3" t="s">
        <v>101</v>
      </c>
    </row>
    <row r="18" spans="1:11" x14ac:dyDescent="0.2">
      <c r="A18" s="4" t="s">
        <v>16</v>
      </c>
      <c r="B18" s="4" t="s">
        <v>66</v>
      </c>
      <c r="C18" s="4" t="s">
        <v>67</v>
      </c>
      <c r="D18" s="6" t="s">
        <v>89</v>
      </c>
      <c r="E18" s="5">
        <v>86.97999999999999</v>
      </c>
      <c r="F18" s="5">
        <v>0</v>
      </c>
      <c r="G18" s="10">
        <v>0</v>
      </c>
      <c r="H18" s="23" t="s">
        <v>98</v>
      </c>
      <c r="I18" s="3" t="s">
        <v>97</v>
      </c>
      <c r="J18" s="24">
        <v>15</v>
      </c>
      <c r="K18" s="3" t="s">
        <v>101</v>
      </c>
    </row>
    <row r="19" spans="1:11" x14ac:dyDescent="0.2">
      <c r="A19" s="4" t="s">
        <v>15</v>
      </c>
      <c r="B19" s="4" t="s">
        <v>64</v>
      </c>
      <c r="C19" s="4" t="s">
        <v>65</v>
      </c>
      <c r="D19" s="6" t="s">
        <v>89</v>
      </c>
      <c r="E19" s="5">
        <v>73.599999999999994</v>
      </c>
      <c r="F19" s="5">
        <v>73.599999999999994</v>
      </c>
      <c r="G19" s="10">
        <v>0</v>
      </c>
      <c r="H19" s="23" t="s">
        <v>98</v>
      </c>
      <c r="I19" s="3" t="s">
        <v>97</v>
      </c>
      <c r="J19" s="25"/>
    </row>
    <row r="20" spans="1:11" x14ac:dyDescent="0.2">
      <c r="A20" s="4" t="s">
        <v>2</v>
      </c>
      <c r="B20" s="4" t="s">
        <v>38</v>
      </c>
      <c r="C20" s="4" t="s">
        <v>39</v>
      </c>
      <c r="D20" s="6" t="s">
        <v>89</v>
      </c>
      <c r="E20" s="5">
        <v>49.483939999999997</v>
      </c>
      <c r="F20" s="5">
        <v>0</v>
      </c>
      <c r="G20" s="10">
        <v>0</v>
      </c>
      <c r="H20" s="23" t="s">
        <v>98</v>
      </c>
      <c r="I20" s="3" t="s">
        <v>97</v>
      </c>
      <c r="J20" s="25"/>
    </row>
    <row r="21" spans="1:11" x14ac:dyDescent="0.2">
      <c r="A21" s="4" t="s">
        <v>20</v>
      </c>
      <c r="B21" s="4" t="s">
        <v>74</v>
      </c>
      <c r="C21" s="4" t="s">
        <v>75</v>
      </c>
      <c r="D21" s="6" t="s">
        <v>89</v>
      </c>
      <c r="E21" s="5">
        <v>33.18</v>
      </c>
      <c r="F21" s="5">
        <v>0</v>
      </c>
      <c r="G21" s="10">
        <v>0</v>
      </c>
      <c r="H21" s="23" t="s">
        <v>98</v>
      </c>
      <c r="I21" s="3" t="s">
        <v>97</v>
      </c>
      <c r="J21" s="25"/>
    </row>
    <row r="22" spans="1:11" x14ac:dyDescent="0.2">
      <c r="A22" s="4" t="s">
        <v>10</v>
      </c>
      <c r="B22" s="4" t="s">
        <v>54</v>
      </c>
      <c r="C22" s="4" t="s">
        <v>55</v>
      </c>
      <c r="D22" s="6" t="s">
        <v>89</v>
      </c>
      <c r="E22" s="5">
        <v>30.799999999999997</v>
      </c>
      <c r="F22" s="5">
        <v>0</v>
      </c>
      <c r="G22" s="10">
        <v>0</v>
      </c>
      <c r="H22" s="23" t="s">
        <v>98</v>
      </c>
      <c r="I22" s="3" t="s">
        <v>97</v>
      </c>
      <c r="J22" s="25"/>
    </row>
    <row r="23" spans="1:11" x14ac:dyDescent="0.2">
      <c r="A23" s="4" t="s">
        <v>22</v>
      </c>
      <c r="B23" s="4" t="s">
        <v>78</v>
      </c>
      <c r="C23" s="4" t="s">
        <v>79</v>
      </c>
      <c r="D23" s="6" t="s">
        <v>89</v>
      </c>
      <c r="E23" s="5">
        <v>14.4</v>
      </c>
      <c r="F23" s="5">
        <v>0</v>
      </c>
      <c r="G23" s="10">
        <v>0</v>
      </c>
      <c r="H23" s="23" t="s">
        <v>98</v>
      </c>
      <c r="I23" s="3" t="s">
        <v>97</v>
      </c>
      <c r="J23" s="25"/>
    </row>
    <row r="24" spans="1:11" x14ac:dyDescent="0.2">
      <c r="A24" s="4" t="s">
        <v>3</v>
      </c>
      <c r="B24" s="4" t="s">
        <v>40</v>
      </c>
      <c r="C24" s="4" t="s">
        <v>41</v>
      </c>
      <c r="D24" s="6" t="s">
        <v>89</v>
      </c>
      <c r="E24" s="5">
        <v>4.1900000000000004</v>
      </c>
      <c r="F24" s="5">
        <v>2.2050000000000001</v>
      </c>
      <c r="G24" s="10">
        <v>0</v>
      </c>
      <c r="H24" s="23" t="s">
        <v>98</v>
      </c>
      <c r="I24" s="3" t="s">
        <v>97</v>
      </c>
      <c r="J24" s="25"/>
    </row>
    <row r="25" spans="1:11" x14ac:dyDescent="0.2">
      <c r="A25" s="4" t="s">
        <v>5</v>
      </c>
      <c r="B25" s="4" t="s">
        <v>44</v>
      </c>
      <c r="C25" s="4" t="s">
        <v>45</v>
      </c>
      <c r="D25" s="6" t="s">
        <v>89</v>
      </c>
      <c r="E25" s="5">
        <v>1879.5059999999999</v>
      </c>
      <c r="F25" s="5">
        <v>216.62</v>
      </c>
      <c r="G25" s="5">
        <v>17</v>
      </c>
      <c r="H25" s="11">
        <f>G25/F25*100</f>
        <v>7.8478441510479184</v>
      </c>
      <c r="I25" s="3" t="s">
        <v>90</v>
      </c>
      <c r="J25" s="25">
        <v>17</v>
      </c>
    </row>
    <row r="26" spans="1:11" x14ac:dyDescent="0.2">
      <c r="A26" s="4" t="s">
        <v>7</v>
      </c>
      <c r="B26" s="4" t="s">
        <v>48</v>
      </c>
      <c r="C26" s="4" t="s">
        <v>49</v>
      </c>
      <c r="D26" s="6" t="s">
        <v>89</v>
      </c>
      <c r="E26" s="5">
        <v>1550.0749999999998</v>
      </c>
      <c r="F26" s="5">
        <v>192.41499999999999</v>
      </c>
      <c r="G26" s="5">
        <v>62.951000000000001</v>
      </c>
      <c r="H26" s="11">
        <f>G26/F26*100</f>
        <v>32.71626432450693</v>
      </c>
      <c r="I26" s="3" t="s">
        <v>90</v>
      </c>
      <c r="J26" s="25">
        <v>62.951000000000001</v>
      </c>
    </row>
    <row r="27" spans="1:11" x14ac:dyDescent="0.2">
      <c r="A27" s="4" t="s">
        <v>19</v>
      </c>
      <c r="B27" s="4" t="s">
        <v>72</v>
      </c>
      <c r="C27" s="4" t="s">
        <v>73</v>
      </c>
      <c r="D27" s="6" t="s">
        <v>89</v>
      </c>
      <c r="E27" s="5">
        <v>3561.4199999999996</v>
      </c>
      <c r="F27" s="5">
        <v>570.59</v>
      </c>
      <c r="G27" s="5">
        <v>247.26300000000001</v>
      </c>
      <c r="H27" s="11">
        <f>G27/F27*100</f>
        <v>43.33461855272612</v>
      </c>
      <c r="I27" s="3" t="s">
        <v>90</v>
      </c>
      <c r="J27" s="25"/>
    </row>
    <row r="28" spans="1:11" x14ac:dyDescent="0.2">
      <c r="A28" s="4" t="s">
        <v>4</v>
      </c>
      <c r="B28" s="4" t="s">
        <v>42</v>
      </c>
      <c r="C28" s="4" t="s">
        <v>43</v>
      </c>
      <c r="D28" s="6" t="s">
        <v>89</v>
      </c>
      <c r="E28" s="5">
        <v>4248</v>
      </c>
      <c r="F28" s="5">
        <v>335</v>
      </c>
      <c r="G28" s="5">
        <v>195.1</v>
      </c>
      <c r="H28" s="11">
        <f>G28/F28*100</f>
        <v>58.238805970149258</v>
      </c>
      <c r="I28" s="3" t="s">
        <v>90</v>
      </c>
      <c r="J28" s="25"/>
    </row>
    <row r="29" spans="1:11" x14ac:dyDescent="0.2">
      <c r="J29" s="26"/>
    </row>
    <row r="30" spans="1:11" x14ac:dyDescent="0.2">
      <c r="J30" s="27"/>
    </row>
    <row r="31" spans="1:11" x14ac:dyDescent="0.2">
      <c r="J31" s="27"/>
    </row>
    <row r="32" spans="1:11" x14ac:dyDescent="0.2">
      <c r="J32" s="27"/>
    </row>
  </sheetData>
  <autoFilter ref="A1:J30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="190" zoomScaleNormal="190" workbookViewId="0">
      <selection activeCell="B14" sqref="B14"/>
    </sheetView>
  </sheetViews>
  <sheetFormatPr defaultRowHeight="14.25" x14ac:dyDescent="0.2"/>
  <cols>
    <col min="1" max="3" width="17.85546875" style="3" customWidth="1"/>
    <col min="4" max="4" width="12.7109375" style="3" customWidth="1"/>
    <col min="5" max="16384" width="9.140625" style="3"/>
  </cols>
  <sheetData>
    <row r="1" spans="1:5" ht="15" x14ac:dyDescent="0.25">
      <c r="A1" s="28" t="s">
        <v>96</v>
      </c>
      <c r="B1" s="28"/>
      <c r="C1" s="28"/>
      <c r="D1" s="28"/>
    </row>
    <row r="2" spans="1:5" ht="15" thickBot="1" x14ac:dyDescent="0.25"/>
    <row r="3" spans="1:5" ht="29.25" thickBot="1" x14ac:dyDescent="0.25">
      <c r="A3" s="12"/>
      <c r="B3" s="13" t="s">
        <v>94</v>
      </c>
      <c r="C3" s="13" t="s">
        <v>93</v>
      </c>
      <c r="D3" s="14" t="s">
        <v>95</v>
      </c>
    </row>
    <row r="4" spans="1:5" s="15" customFormat="1" ht="15" x14ac:dyDescent="0.25">
      <c r="A4" s="15" t="s">
        <v>91</v>
      </c>
      <c r="B4" s="16">
        <v>57934.100044966661</v>
      </c>
      <c r="C4" s="16">
        <v>80618.972923465451</v>
      </c>
      <c r="D4" s="16">
        <f>C4/B4*100</f>
        <v>139.15633946309944</v>
      </c>
      <c r="E4" s="16"/>
    </row>
    <row r="5" spans="1:5" ht="15" x14ac:dyDescent="0.25">
      <c r="A5" s="17" t="s">
        <v>88</v>
      </c>
      <c r="B5" s="8">
        <v>13249.5</v>
      </c>
      <c r="C5" s="8">
        <v>19868.7</v>
      </c>
      <c r="D5" s="16">
        <f t="shared" ref="D5:D6" si="0">C5/B5*100</f>
        <v>149.95811162685385</v>
      </c>
      <c r="E5" s="8"/>
    </row>
    <row r="6" spans="1:5" ht="15" x14ac:dyDescent="0.25">
      <c r="A6" s="17" t="s">
        <v>92</v>
      </c>
      <c r="B6" s="8">
        <f>B4-B5</f>
        <v>44684.600044966661</v>
      </c>
      <c r="C6" s="8">
        <f>C4-C5</f>
        <v>60750.272923465454</v>
      </c>
      <c r="D6" s="16">
        <f t="shared" si="0"/>
        <v>135.9534892610244</v>
      </c>
      <c r="E6" s="8"/>
    </row>
    <row r="7" spans="1:5" x14ac:dyDescent="0.2">
      <c r="B7" s="8"/>
      <c r="C7" s="8"/>
      <c r="D7" s="8"/>
      <c r="E7" s="8"/>
    </row>
    <row r="8" spans="1:5" x14ac:dyDescent="0.2">
      <c r="B8" s="8"/>
      <c r="C8" s="8"/>
      <c r="D8" s="8"/>
      <c r="E8" s="8"/>
    </row>
    <row r="9" spans="1:5" x14ac:dyDescent="0.2">
      <c r="B9" s="8"/>
      <c r="C9" s="8"/>
      <c r="D9" s="8"/>
      <c r="E9" s="8"/>
    </row>
    <row r="10" spans="1:5" x14ac:dyDescent="0.2">
      <c r="B10" s="8"/>
      <c r="C10" s="8"/>
      <c r="D10" s="8"/>
      <c r="E10" s="8"/>
    </row>
    <row r="11" spans="1:5" x14ac:dyDescent="0.2">
      <c r="B11" s="8"/>
      <c r="C11" s="8"/>
      <c r="D11" s="8"/>
      <c r="E11" s="8"/>
    </row>
    <row r="12" spans="1:5" x14ac:dyDescent="0.2">
      <c r="B12" s="8"/>
      <c r="C12" s="8"/>
      <c r="D12" s="8"/>
      <c r="E12" s="8"/>
    </row>
    <row r="13" spans="1:5" x14ac:dyDescent="0.2">
      <c r="B13" s="8"/>
      <c r="C13" s="8"/>
      <c r="D13" s="8"/>
      <c r="E13" s="8"/>
    </row>
    <row r="14" spans="1:5" x14ac:dyDescent="0.2">
      <c r="B14" s="8"/>
      <c r="C14" s="8"/>
      <c r="D14" s="8"/>
      <c r="E14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Резидент</vt:lpstr>
      <vt:lpstr>Маълумот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2026-03-12T10:42:48Z</dcterms:modified>
</cp:coreProperties>
</file>